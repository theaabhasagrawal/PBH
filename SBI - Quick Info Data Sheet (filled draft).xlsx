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abhas.agrawal/Desktop/PB Health MG Road - Empanelment Final/Docs/"/>
    </mc:Choice>
  </mc:AlternateContent>
  <xr:revisionPtr revIDLastSave="0" documentId="13_ncr:1_{0D8EAC33-933A-C440-878F-2887493CC940}" xr6:coauthVersionLast="47" xr6:coauthVersionMax="47" xr10:uidLastSave="{00000000-0000-0000-0000-000000000000}"/>
  <workbookProtection workbookAlgorithmName="SHA-512" workbookHashValue="oNVTsz6fxj9+tGJGFuDRJmK9wfzXAikQ6AMF4N181a2LWigk/hbm57cU16nkvfqBXloh3CijN2vE0/8COchncQ==" workbookSaltValue="dtt2XMUtrA0igJ1nPLdEWw==" workbookSpinCount="100000" lockStructure="1"/>
  <bookViews>
    <workbookView xWindow="0" yWindow="660" windowWidth="29400" windowHeight="18460" xr2:uid="{00000000-000D-0000-FFFF-FFFF00000000}"/>
  </bookViews>
  <sheets>
    <sheet name="HI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" l="1"/>
  <c r="F29" i="2"/>
  <c r="F28" i="2"/>
  <c r="F27" i="2"/>
  <c r="F19" i="2"/>
  <c r="F16" i="2"/>
  <c r="F15" i="2"/>
  <c r="F14" i="2"/>
  <c r="F13" i="2"/>
  <c r="F12" i="2"/>
  <c r="F11" i="2"/>
  <c r="DR4" i="2"/>
  <c r="DP4" i="2"/>
  <c r="DN4" i="2"/>
  <c r="DL4" i="2"/>
  <c r="DJ4" i="2"/>
  <c r="DH4" i="2"/>
  <c r="DF4" i="2"/>
  <c r="DD4" i="2"/>
  <c r="DB4" i="2"/>
  <c r="CZ4" i="2"/>
  <c r="CX4" i="2"/>
  <c r="CV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K4" i="2"/>
  <c r="BJ4" i="2"/>
  <c r="BH4" i="2"/>
  <c r="BG4" i="2"/>
  <c r="BE4" i="2"/>
  <c r="BD4" i="2"/>
  <c r="BB4" i="2"/>
  <c r="BA4" i="2"/>
  <c r="AY4" i="2"/>
  <c r="AX4" i="2"/>
  <c r="AV4" i="2"/>
  <c r="AU4" i="2"/>
  <c r="AS4" i="2"/>
  <c r="AR4" i="2"/>
  <c r="AP4" i="2"/>
  <c r="AO4" i="2"/>
  <c r="AM4" i="2"/>
  <c r="AL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</calcChain>
</file>

<file path=xl/sharedStrings.xml><?xml version="1.0" encoding="utf-8"?>
<sst xmlns="http://schemas.openxmlformats.org/spreadsheetml/2006/main" count="369" uniqueCount="198">
  <si>
    <t>HOSPITAL DATA SHEET</t>
  </si>
  <si>
    <t>HOSPITAL ROHINI ID*</t>
  </si>
  <si>
    <t>8900080770423</t>
  </si>
  <si>
    <t xml:space="preserve">ROHINI Expiry Date*: </t>
  </si>
  <si>
    <t>17-Aug-2027</t>
  </si>
  <si>
    <t>Name of Hospital:</t>
  </si>
  <si>
    <t>PB Health Hospital, MG Road (Medom Healthtech Private Limited)</t>
  </si>
  <si>
    <t>Address:</t>
  </si>
  <si>
    <t>L-22, DLF Phase 2, Mehrauli-Gurgaon Road, Sector 25, Near American Public School</t>
  </si>
  <si>
    <t>City:</t>
  </si>
  <si>
    <t>Gurugram</t>
  </si>
  <si>
    <t>State:</t>
  </si>
  <si>
    <t>Haryana</t>
  </si>
  <si>
    <t>Pincode:</t>
  </si>
  <si>
    <t>122002</t>
  </si>
  <si>
    <t>Agreed Tariff :</t>
  </si>
  <si>
    <t>STD Code:</t>
  </si>
  <si>
    <t>0124</t>
  </si>
  <si>
    <t>Phone:</t>
  </si>
  <si>
    <t>4374109</t>
  </si>
  <si>
    <t>Fax:</t>
  </si>
  <si>
    <t>Nil</t>
  </si>
  <si>
    <t>E Mail ID:</t>
  </si>
  <si>
    <t>Mobile No.</t>
  </si>
  <si>
    <t>Type of Provider</t>
  </si>
  <si>
    <t>Privtate</t>
  </si>
  <si>
    <t>Yes</t>
  </si>
  <si>
    <t>Corporate</t>
  </si>
  <si>
    <t>Charitable Trust</t>
  </si>
  <si>
    <t>Government</t>
  </si>
  <si>
    <t>Nature of Entity</t>
  </si>
  <si>
    <t>Company</t>
  </si>
  <si>
    <t>Partnership Firm</t>
  </si>
  <si>
    <t>LLP</t>
  </si>
  <si>
    <t>Propritorship Concern</t>
  </si>
  <si>
    <t>Individual Person</t>
  </si>
  <si>
    <t>Trust</t>
  </si>
  <si>
    <t>MAIN CONTACT POINTS</t>
  </si>
  <si>
    <t>Designation</t>
  </si>
  <si>
    <t>Name</t>
  </si>
  <si>
    <t>E Mail ID</t>
  </si>
  <si>
    <t>Head of the Organisation / CEO</t>
  </si>
  <si>
    <t>Alok Man Singh, Hospital Director</t>
  </si>
  <si>
    <t xml:space="preserve">MoU Signing Authority </t>
  </si>
  <si>
    <t>Manoj Sharma, Director / Rajeev Bhandari, Director</t>
  </si>
  <si>
    <t>9810302530 / 9873079038</t>
  </si>
  <si>
    <t>rajeev.bhandari@pbhealth.com</t>
  </si>
  <si>
    <t>Marketing</t>
  </si>
  <si>
    <t>TPA Desk</t>
  </si>
  <si>
    <t>Deepak Kumar (Senior Executive - TPA, Billing)</t>
  </si>
  <si>
    <t>8700319474 / 7428280579</t>
  </si>
  <si>
    <t>insurance.mgroad@pbhealth.com</t>
  </si>
  <si>
    <t>BED COMPOSITION</t>
  </si>
  <si>
    <t>Type of Beds</t>
  </si>
  <si>
    <t>No. of Beds</t>
  </si>
  <si>
    <t>Rent Per Day</t>
  </si>
  <si>
    <t>Total</t>
  </si>
  <si>
    <t>Single Room with AC</t>
  </si>
  <si>
    <t xml:space="preserve">General Ward </t>
  </si>
  <si>
    <t>Deluxe Rooms</t>
  </si>
  <si>
    <t>Semi Private</t>
  </si>
  <si>
    <t>Super Deluxe</t>
  </si>
  <si>
    <t>Semi Private with AC</t>
  </si>
  <si>
    <t>ICU</t>
  </si>
  <si>
    <t>12,000 (PICU 8,000)</t>
  </si>
  <si>
    <t>Single Room</t>
  </si>
  <si>
    <t>Day Care</t>
  </si>
  <si>
    <t>HOSPITAL INFRASTRUCTURE</t>
  </si>
  <si>
    <t>Medical Infrastructure</t>
  </si>
  <si>
    <t>Support Services</t>
  </si>
  <si>
    <t>Pathology Services</t>
  </si>
  <si>
    <t>Outsourced (Pathkind)</t>
  </si>
  <si>
    <t>Major OT</t>
  </si>
  <si>
    <t>Parking Area available - Yes / No</t>
  </si>
  <si>
    <t>X-Ray</t>
  </si>
  <si>
    <t>Minor OT</t>
  </si>
  <si>
    <t>Biomedical Waste Management - Yes / No</t>
  </si>
  <si>
    <t>CT Scan</t>
  </si>
  <si>
    <t>Pharmacy</t>
  </si>
  <si>
    <t>Yes (IP)</t>
  </si>
  <si>
    <t>Central Sterile Supply Department (CSSD) -Yes / No</t>
  </si>
  <si>
    <t>MRI</t>
  </si>
  <si>
    <t>Burns Unit</t>
  </si>
  <si>
    <t>No</t>
  </si>
  <si>
    <t>Hospital Information Management System (HMIS) - Yes / No</t>
  </si>
  <si>
    <t>Emergency Unit</t>
  </si>
  <si>
    <t>Blood Bank</t>
  </si>
  <si>
    <t>Home Health Care Services - Yes / No</t>
  </si>
  <si>
    <t>LICENSES, ACCREDITATION AND CERTIFICATIONS</t>
  </si>
  <si>
    <t>Hospital Registration No.</t>
  </si>
  <si>
    <t>0608601979 (Provisional)</t>
  </si>
  <si>
    <t>Expiry Date:</t>
  </si>
  <si>
    <t>17-Dec-26</t>
  </si>
  <si>
    <t>NABH Certification Level</t>
  </si>
  <si>
    <t>Not accredited</t>
  </si>
  <si>
    <t>Hospital Registered with</t>
  </si>
  <si>
    <t>District Registering Authority, Gurgaon (Clinical Establishments Act, 2010)</t>
  </si>
  <si>
    <t>Any other certification</t>
  </si>
  <si>
    <t>None</t>
  </si>
  <si>
    <t>FINANCIAL INFORMATION</t>
  </si>
  <si>
    <t>Account No.:</t>
  </si>
  <si>
    <t>50200119112042</t>
  </si>
  <si>
    <t>Beneficiary Name</t>
  </si>
  <si>
    <t>Medom Healthtech Private Limited</t>
  </si>
  <si>
    <t>Account Type</t>
  </si>
  <si>
    <t>Current</t>
  </si>
  <si>
    <t>Bank Name</t>
  </si>
  <si>
    <t>HDFC Bank</t>
  </si>
  <si>
    <t>Bank Address:</t>
  </si>
  <si>
    <t>First India Place, Mehrauli Gurgaon Road, Gurugram - 122002</t>
  </si>
  <si>
    <t>IFSC Code</t>
  </si>
  <si>
    <t>HDFC0000280</t>
  </si>
  <si>
    <t>GST Number</t>
  </si>
  <si>
    <t>06AATCM6271B1ZC</t>
  </si>
  <si>
    <t>PAN No.</t>
  </si>
  <si>
    <t>AATCM6271B</t>
  </si>
  <si>
    <t>Name on PAN Card</t>
  </si>
  <si>
    <t>TDS Exemption %</t>
  </si>
  <si>
    <t>Not applicable</t>
  </si>
  <si>
    <t>TDS Exemption Limit</t>
  </si>
  <si>
    <t>TDS Exemption Period</t>
  </si>
  <si>
    <t>DISCOUNTS / BENEFITS OFFERED FOR SBI GENERAL DIRECT CASHLESS SERVICES</t>
  </si>
  <si>
    <t>OPD Services</t>
  </si>
  <si>
    <t>% Discount</t>
  </si>
  <si>
    <t>IPD Services</t>
  </si>
  <si>
    <t>Waiver offered on</t>
  </si>
  <si>
    <t>Yes / No</t>
  </si>
  <si>
    <t>OPD Consultations</t>
  </si>
  <si>
    <t>Bed Charges</t>
  </si>
  <si>
    <t>Registration / Admission Charges</t>
  </si>
  <si>
    <t>OPD Diagnostics</t>
  </si>
  <si>
    <t>IPD Diagnostics</t>
  </si>
  <si>
    <t>Admission Deposit</t>
  </si>
  <si>
    <t>Health Check Ups</t>
  </si>
  <si>
    <t>Other IPD Services</t>
  </si>
  <si>
    <t>Non-Medical Expenses up to INR 5000</t>
  </si>
  <si>
    <t>Other OPD Services / Discount on Items purchased from In House pharmacy</t>
  </si>
  <si>
    <t>Total IPD Bill</t>
  </si>
  <si>
    <t>Charges for expert health talks</t>
  </si>
  <si>
    <t>Sr No</t>
  </si>
  <si>
    <t>ROHINI Expiry Date</t>
  </si>
  <si>
    <t>Agreed Tariff</t>
  </si>
  <si>
    <t>Name of Hospital</t>
  </si>
  <si>
    <t>Address</t>
  </si>
  <si>
    <t>City</t>
  </si>
  <si>
    <t>State</t>
  </si>
  <si>
    <t>Pin Code</t>
  </si>
  <si>
    <t>STD Code</t>
  </si>
  <si>
    <t>Phone</t>
  </si>
  <si>
    <t>Fax</t>
  </si>
  <si>
    <t>Type of Provider / Ownership Type:</t>
  </si>
  <si>
    <t>Private</t>
  </si>
  <si>
    <t>Parking Area available</t>
  </si>
  <si>
    <t>Biomedical Waste Management</t>
  </si>
  <si>
    <t>Central Sterile Supply Department (CSSD)</t>
  </si>
  <si>
    <t>Hospital Information Management System (HMIS)</t>
  </si>
  <si>
    <t>Home Health Care Services</t>
  </si>
  <si>
    <t>Bank Adress</t>
  </si>
  <si>
    <t>Other OPD Services</t>
  </si>
  <si>
    <t>TERMS AGREED WITH THE HOSPITAL</t>
  </si>
  <si>
    <t>Clause No.</t>
  </si>
  <si>
    <t>Item</t>
  </si>
  <si>
    <t>Agreed Term</t>
  </si>
  <si>
    <t>Clause 7.1</t>
  </si>
  <si>
    <t>Payment Credit Period</t>
  </si>
  <si>
    <t>60 days</t>
  </si>
  <si>
    <t>Clause 10.1</t>
  </si>
  <si>
    <t>Agreement Commencement Date</t>
  </si>
  <si>
    <t>1st April 2022</t>
  </si>
  <si>
    <t>Clause 15.1c</t>
  </si>
  <si>
    <t>In Case of Notice to the Network Provider</t>
  </si>
  <si>
    <t>Name:</t>
  </si>
  <si>
    <t xml:space="preserve">Address: </t>
  </si>
  <si>
    <t xml:space="preserve">Phone: </t>
  </si>
  <si>
    <t>Facsimile:</t>
  </si>
  <si>
    <t xml:space="preserve">E-mail: </t>
  </si>
  <si>
    <t>Agreement Signing Authority</t>
  </si>
  <si>
    <t xml:space="preserve">Name:  </t>
  </si>
  <si>
    <t xml:space="preserve">Designation: </t>
  </si>
  <si>
    <t>Annexure B</t>
  </si>
  <si>
    <t>Tariff applicable with respect to Services</t>
  </si>
  <si>
    <t>ATTACHED</t>
  </si>
  <si>
    <t>Annexure C</t>
  </si>
  <si>
    <t>Discount on total hospital bill (%)</t>
  </si>
  <si>
    <t>10% discount on total hospital bill</t>
  </si>
  <si>
    <t>Discount of _% on OPD Consultations &amp; Investigations</t>
  </si>
  <si>
    <t>Discount of _% on Health Check-up Packages</t>
  </si>
  <si>
    <t>10% </t>
  </si>
  <si>
    <t>Discount of _% on Items purchased from In House pharmacy</t>
  </si>
  <si>
    <t>Natur of Entity</t>
  </si>
  <si>
    <t xml:space="preserve">Company / LLP/ Partership/ </t>
  </si>
  <si>
    <t>Annexure N</t>
  </si>
  <si>
    <t>Tariff Locking and Credit Period</t>
  </si>
  <si>
    <t>36 months / 60 Days</t>
  </si>
  <si>
    <t>Complimentary health camps / health awareness sessions at corporate sites</t>
  </si>
  <si>
    <t xml:space="preserve">Health checkup camps / health awareness sessions on discounted price </t>
  </si>
  <si>
    <t>Waiver offered on: - Yes / No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</si>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</sst>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22"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1" fontId="0" fillId="0" borderId="1" xfId="0" applyNumberFormat="1" applyBorder="1" applyAlignment="1" applyProtection="1">
      <alignment horizontal="left" vertical="center"/>
      <protection hidden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5" xfId="0" applyFont="1" applyBorder="1" applyAlignment="1">
      <alignment horizontal="justify" vertical="center"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5" fontId="0" fillId="0" borderId="1" xfId="0" applyNumberFormat="1" applyBorder="1" applyAlignment="1" applyProtection="1">
      <alignment horizontal="center" vertical="center"/>
      <protection hidden="1"/>
    </xf>
    <xf numFmtId="0" fontId="6" fillId="0" borderId="7" xfId="0" applyFont="1" applyBorder="1" applyAlignment="1">
      <alignment vertical="center" wrapText="1"/>
    </xf>
    <xf numFmtId="15" fontId="4" fillId="0" borderId="1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9" fontId="0" fillId="10" borderId="1" xfId="0" applyNumberForma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vertical="center" wrapText="1"/>
      <protection hidden="1"/>
    </xf>
    <xf numFmtId="0" fontId="2" fillId="8" borderId="1" xfId="0" applyFont="1" applyFill="1" applyBorder="1" applyAlignment="1" applyProtection="1">
      <alignment vertical="center"/>
      <protection hidden="1"/>
    </xf>
    <xf numFmtId="0" fontId="10" fillId="6" borderId="1" xfId="0" applyFont="1" applyFill="1" applyBorder="1" applyAlignment="1" applyProtection="1">
      <alignment vertical="center" wrapText="1"/>
      <protection hidden="1"/>
    </xf>
    <xf numFmtId="0" fontId="2" fillId="4" borderId="1" xfId="0" applyFont="1" applyFill="1" applyBorder="1" applyAlignment="1" applyProtection="1">
      <alignment vertical="center"/>
      <protection hidden="1"/>
    </xf>
    <xf numFmtId="0" fontId="2" fillId="5" borderId="1" xfId="0" applyFont="1" applyFill="1" applyBorder="1" applyAlignment="1" applyProtection="1">
      <alignment vertical="center"/>
      <protection hidden="1"/>
    </xf>
    <xf numFmtId="0" fontId="10" fillId="7" borderId="1" xfId="0" applyFont="1" applyFill="1" applyBorder="1" applyAlignment="1" applyProtection="1">
      <alignment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11" borderId="1" xfId="0" applyFont="1" applyFill="1" applyBorder="1" applyAlignment="1" applyProtection="1">
      <alignment horizontal="center" vertical="center" wrapText="1"/>
      <protection hidden="1"/>
    </xf>
    <xf numFmtId="49" fontId="0" fillId="0" borderId="1" xfId="0" applyNumberFormat="1" applyBorder="1" applyAlignment="1" applyProtection="1">
      <alignment horizontal="left" vertical="center"/>
      <protection hidden="1"/>
    </xf>
    <xf numFmtId="0" fontId="5" fillId="0" borderId="7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5" fontId="3" fillId="2" borderId="2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4" xfId="0" applyBorder="1"/>
    <xf numFmtId="0" fontId="6" fillId="0" borderId="6" xfId="0" applyFont="1" applyBorder="1" applyAlignment="1">
      <alignment horizontal="left" vertical="center" wrapText="1"/>
    </xf>
    <xf numFmtId="0" fontId="0" fillId="0" borderId="11" xfId="0" applyBorder="1"/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0" fillId="0" borderId="13" xfId="0" applyBorder="1"/>
    <xf numFmtId="1" fontId="3" fillId="2" borderId="19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4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18" xfId="0" applyBorder="1"/>
    <xf numFmtId="0" fontId="0" fillId="0" borderId="6" xfId="0" applyBorder="1"/>
    <xf numFmtId="0" fontId="2" fillId="3" borderId="8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14" fontId="8" fillId="0" borderId="1" xfId="0" applyNumberFormat="1" applyFont="1" applyBorder="1" applyAlignment="1">
      <alignment horizontal="center" vertical="center"/>
    </xf>
    <xf numFmtId="1" fontId="3" fillId="2" borderId="19" xfId="0" applyNumberFormat="1" applyFont="1" applyFill="1" applyBorder="1" applyAlignment="1">
      <alignment horizontal="left" vertical="center"/>
    </xf>
    <xf numFmtId="0" fontId="12" fillId="0" borderId="1" xfId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5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0" fillId="0" borderId="14" xfId="0" applyBorder="1"/>
    <xf numFmtId="0" fontId="3" fillId="2" borderId="9" xfId="0" applyFont="1" applyFill="1" applyBorder="1" applyAlignment="1">
      <alignment horizontal="left" vertical="center"/>
    </xf>
    <xf numFmtId="0" fontId="0" fillId="0" borderId="22" xfId="0" applyBorder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0" fillId="7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0" fillId="0" borderId="3" xfId="0" applyBorder="1" applyProtection="1">
      <protection hidden="1"/>
    </xf>
    <xf numFmtId="0" fontId="10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/>
      <protection hidden="1"/>
    </xf>
    <xf numFmtId="0" fontId="11" fillId="0" borderId="1" xfId="0" applyFont="1" applyBorder="1" applyAlignment="1">
      <alignment vertical="center" wrapText="1"/>
    </xf>
    <xf numFmtId="0" fontId="0" fillId="0" borderId="15" xfId="0" applyBorder="1"/>
    <xf numFmtId="0" fontId="0" fillId="0" borderId="6" xfId="0" applyBorder="1" applyProtection="1">
      <protection hidden="1"/>
    </xf>
    <xf numFmtId="0" fontId="11" fillId="0" borderId="1" xfId="0" applyFont="1" applyBorder="1" applyAlignment="1">
      <alignment horizontal="center" vertical="center" wrapText="1"/>
    </xf>
    <xf numFmtId="0" fontId="2" fillId="11" borderId="1" xfId="0" applyFont="1" applyFill="1" applyBorder="1" applyAlignment="1" applyProtection="1">
      <alignment horizontal="center" vertical="center"/>
      <protection hidden="1"/>
    </xf>
    <xf numFmtId="0" fontId="0" fillId="0" borderId="16" xfId="0" applyBorder="1" applyProtection="1">
      <protection hidden="1"/>
    </xf>
    <xf numFmtId="0" fontId="0" fillId="0" borderId="17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8" xfId="0" applyBorder="1" applyProtection="1">
      <protection hidden="1"/>
    </xf>
    <xf numFmtId="0" fontId="0" fillId="0" borderId="11" xfId="0" applyBorder="1" applyProtection="1">
      <protection hidden="1"/>
    </xf>
    <xf numFmtId="0" fontId="2" fillId="4" borderId="2" xfId="0" applyFont="1" applyFill="1" applyBorder="1" applyAlignment="1" applyProtection="1">
      <alignment horizontal="center" vertical="center"/>
      <protection hidden="1"/>
    </xf>
    <xf numFmtId="0" fontId="11" fillId="10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 applyProtection="1">
      <alignment horizontal="center" vertical="center" wrapText="1"/>
      <protection hidden="1"/>
    </xf>
    <xf numFmtId="0" fontId="2" fillId="9" borderId="1" xfId="0" applyFont="1" applyFill="1" applyBorder="1" applyAlignment="1" applyProtection="1">
      <alignment horizontal="center" vertical="center"/>
      <protection hidden="1"/>
    </xf>
    <xf numFmtId="0" fontId="0" fillId="0" borderId="15" xfId="0" applyBorder="1" applyProtection="1">
      <protection hidden="1"/>
    </xf>
    <xf numFmtId="0" fontId="2" fillId="8" borderId="1" xfId="0" applyFont="1" applyFill="1" applyBorder="1" applyAlignment="1" applyProtection="1">
      <alignment horizontal="center" vertical="center"/>
      <protection hidden="1"/>
    </xf>
    <xf numFmtId="0" fontId="10" fillId="7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re@pbheal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29" zoomScale="136" zoomScaleNormal="100" workbookViewId="0">
      <selection activeCell="B42" sqref="B42"/>
    </sheetView>
  </sheetViews>
  <sheetFormatPr baseColWidth="10" defaultColWidth="8.83203125" defaultRowHeight="17.25" customHeight="1" x14ac:dyDescent="0.2"/>
  <cols>
    <col min="1" max="1" width="26.6640625" style="1" customWidth="1"/>
    <col min="2" max="2" width="16" style="1" customWidth="1"/>
    <col min="3" max="3" width="9.83203125" style="1" bestFit="1" customWidth="1"/>
    <col min="4" max="4" width="14.83203125" style="1" bestFit="1" customWidth="1"/>
    <col min="5" max="5" width="12.6640625" style="1" bestFit="1" customWidth="1"/>
    <col min="6" max="6" width="13.5" style="1" bestFit="1" customWidth="1"/>
    <col min="7" max="7" width="11.6640625" style="1" customWidth="1"/>
    <col min="8" max="8" width="17.33203125" style="1" customWidth="1"/>
    <col min="9" max="9" width="15.83203125" style="1" customWidth="1"/>
    <col min="10" max="10" width="8.83203125" style="1" customWidth="1"/>
    <col min="11" max="16384" width="8.83203125" style="1"/>
  </cols>
  <sheetData>
    <row r="1" spans="1:9" ht="16.5" customHeight="1" x14ac:dyDescent="0.2">
      <c r="A1" s="78" t="s">
        <v>0</v>
      </c>
      <c r="B1" s="79"/>
      <c r="C1" s="79"/>
      <c r="D1" s="79"/>
      <c r="E1" s="79"/>
      <c r="F1" s="79"/>
      <c r="G1" s="79"/>
      <c r="H1" s="79"/>
      <c r="I1" s="80"/>
    </row>
    <row r="2" spans="1:9" ht="15.75" customHeight="1" x14ac:dyDescent="0.2">
      <c r="A2" s="93" t="s">
        <v>1</v>
      </c>
      <c r="B2" s="94"/>
      <c r="C2" s="67" t="s">
        <v>2</v>
      </c>
      <c r="D2" s="68"/>
      <c r="E2" s="68"/>
      <c r="F2" s="69"/>
      <c r="G2" s="82" t="s">
        <v>3</v>
      </c>
      <c r="H2" s="69"/>
      <c r="I2" s="51" t="s">
        <v>4</v>
      </c>
    </row>
    <row r="3" spans="1:9" ht="20.25" customHeight="1" x14ac:dyDescent="0.2">
      <c r="A3" s="20" t="s">
        <v>5</v>
      </c>
      <c r="B3" s="55" t="s">
        <v>6</v>
      </c>
      <c r="C3" s="59"/>
      <c r="D3" s="59"/>
      <c r="E3" s="59"/>
      <c r="F3" s="59"/>
      <c r="G3" s="59"/>
      <c r="H3" s="59"/>
      <c r="I3" s="54"/>
    </row>
    <row r="4" spans="1:9" ht="20.25" customHeight="1" x14ac:dyDescent="0.2">
      <c r="A4" s="16" t="s">
        <v>7</v>
      </c>
      <c r="B4" s="75" t="s">
        <v>8</v>
      </c>
      <c r="C4" s="76"/>
      <c r="D4" s="76"/>
      <c r="E4" s="76"/>
      <c r="F4" s="76"/>
      <c r="G4" s="76"/>
      <c r="H4" s="76"/>
      <c r="I4" s="61"/>
    </row>
    <row r="5" spans="1:9" ht="20.25" customHeight="1" x14ac:dyDescent="0.2">
      <c r="A5" s="16" t="s">
        <v>9</v>
      </c>
      <c r="B5" s="2" t="s">
        <v>10</v>
      </c>
      <c r="C5" s="16" t="s">
        <v>11</v>
      </c>
      <c r="D5" s="90" t="s">
        <v>12</v>
      </c>
      <c r="E5" s="54"/>
      <c r="F5" s="16" t="s">
        <v>13</v>
      </c>
      <c r="G5" s="50" t="s">
        <v>14</v>
      </c>
      <c r="H5" s="16" t="s">
        <v>15</v>
      </c>
      <c r="I5" s="2"/>
    </row>
    <row r="6" spans="1:9" ht="20.25" customHeight="1" x14ac:dyDescent="0.2">
      <c r="A6" s="16" t="s">
        <v>16</v>
      </c>
      <c r="B6" s="73" t="s">
        <v>17</v>
      </c>
      <c r="C6" s="54"/>
      <c r="D6" s="16" t="s">
        <v>18</v>
      </c>
      <c r="E6" s="55" t="s">
        <v>19</v>
      </c>
      <c r="F6" s="54"/>
      <c r="G6" s="16" t="s">
        <v>20</v>
      </c>
      <c r="H6" s="55" t="s">
        <v>21</v>
      </c>
      <c r="I6" s="54"/>
    </row>
    <row r="7" spans="1:9" ht="20.25" customHeight="1" x14ac:dyDescent="0.2">
      <c r="A7" s="16" t="s">
        <v>22</v>
      </c>
      <c r="B7" s="83" t="s">
        <v>51</v>
      </c>
      <c r="C7" s="59"/>
      <c r="D7" s="59"/>
      <c r="E7" s="54"/>
      <c r="F7" s="16" t="s">
        <v>23</v>
      </c>
      <c r="G7" s="55">
        <v>7428280579</v>
      </c>
      <c r="H7" s="59"/>
      <c r="I7" s="54"/>
    </row>
    <row r="8" spans="1:9" ht="20.25" customHeight="1" x14ac:dyDescent="0.2">
      <c r="A8" s="19" t="s">
        <v>24</v>
      </c>
      <c r="B8" s="16" t="s">
        <v>25</v>
      </c>
      <c r="C8" s="2" t="s">
        <v>26</v>
      </c>
      <c r="D8" s="16" t="s">
        <v>27</v>
      </c>
      <c r="E8" s="2"/>
      <c r="F8" s="16" t="s">
        <v>28</v>
      </c>
      <c r="G8" s="2"/>
      <c r="H8" s="16" t="s">
        <v>29</v>
      </c>
      <c r="I8" s="2"/>
    </row>
    <row r="9" spans="1:9" ht="20.25" customHeight="1" x14ac:dyDescent="0.2">
      <c r="A9" s="56" t="s">
        <v>30</v>
      </c>
      <c r="B9" s="56" t="s">
        <v>31</v>
      </c>
      <c r="C9" s="54"/>
      <c r="D9" s="2" t="s">
        <v>26</v>
      </c>
      <c r="E9" s="56" t="s">
        <v>32</v>
      </c>
      <c r="F9" s="54"/>
      <c r="G9" s="6"/>
      <c r="H9" s="18" t="s">
        <v>33</v>
      </c>
      <c r="I9" s="2"/>
    </row>
    <row r="10" spans="1:9" ht="20.25" customHeight="1" x14ac:dyDescent="0.2">
      <c r="A10" s="77"/>
      <c r="B10" s="56" t="s">
        <v>34</v>
      </c>
      <c r="C10" s="54"/>
      <c r="D10" s="2"/>
      <c r="E10" s="87" t="s">
        <v>35</v>
      </c>
      <c r="F10" s="54"/>
      <c r="G10" s="2"/>
      <c r="H10" s="18" t="s">
        <v>36</v>
      </c>
      <c r="I10" s="2"/>
    </row>
    <row r="11" spans="1:9" ht="20.25" customHeight="1" x14ac:dyDescent="0.2">
      <c r="A11" s="63" t="s">
        <v>37</v>
      </c>
      <c r="B11" s="59"/>
      <c r="C11" s="59"/>
      <c r="D11" s="59"/>
      <c r="E11" s="59"/>
      <c r="F11" s="59"/>
      <c r="G11" s="59"/>
      <c r="H11" s="59"/>
      <c r="I11" s="54"/>
    </row>
    <row r="12" spans="1:9" ht="20.25" customHeight="1" x14ac:dyDescent="0.2">
      <c r="A12" s="74" t="s">
        <v>38</v>
      </c>
      <c r="B12" s="54"/>
      <c r="C12" s="64" t="s">
        <v>39</v>
      </c>
      <c r="D12" s="59"/>
      <c r="E12" s="54"/>
      <c r="F12" s="64" t="s">
        <v>23</v>
      </c>
      <c r="G12" s="54"/>
      <c r="H12" s="74" t="s">
        <v>40</v>
      </c>
      <c r="I12" s="54"/>
    </row>
    <row r="13" spans="1:9" ht="20.25" customHeight="1" x14ac:dyDescent="0.2">
      <c r="A13" s="53" t="s">
        <v>41</v>
      </c>
      <c r="B13" s="54"/>
      <c r="C13" s="55" t="s">
        <v>42</v>
      </c>
      <c r="D13" s="59"/>
      <c r="E13" s="54"/>
      <c r="F13" s="55"/>
      <c r="G13" s="54"/>
      <c r="H13" s="55"/>
      <c r="I13" s="54"/>
    </row>
    <row r="14" spans="1:9" ht="20.25" customHeight="1" x14ac:dyDescent="0.2">
      <c r="A14" s="53" t="s">
        <v>43</v>
      </c>
      <c r="B14" s="54"/>
      <c r="C14" s="55" t="s">
        <v>44</v>
      </c>
      <c r="D14" s="59"/>
      <c r="E14" s="54"/>
      <c r="F14" s="55" t="s">
        <v>45</v>
      </c>
      <c r="G14" s="54"/>
      <c r="H14" s="55" t="s">
        <v>46</v>
      </c>
      <c r="I14" s="54"/>
    </row>
    <row r="15" spans="1:9" ht="20.25" customHeight="1" x14ac:dyDescent="0.2">
      <c r="A15" s="53" t="s">
        <v>47</v>
      </c>
      <c r="B15" s="54"/>
      <c r="C15" s="55" t="s">
        <v>197</v>
      </c>
      <c r="D15" s="59"/>
      <c r="E15" s="54"/>
      <c r="F15" s="55"/>
      <c r="G15" s="54"/>
      <c r="H15" s="55"/>
      <c r="I15" s="54"/>
    </row>
    <row r="16" spans="1:9" ht="20.25" customHeight="1" x14ac:dyDescent="0.2">
      <c r="A16" s="53" t="s">
        <v>48</v>
      </c>
      <c r="B16" s="54"/>
      <c r="C16" s="55" t="s">
        <v>49</v>
      </c>
      <c r="D16" s="59"/>
      <c r="E16" s="54"/>
      <c r="F16" s="55" t="s">
        <v>50</v>
      </c>
      <c r="G16" s="54"/>
      <c r="H16" s="55" t="s">
        <v>51</v>
      </c>
      <c r="I16" s="54"/>
    </row>
    <row r="17" spans="1:11" ht="20.25" customHeight="1" x14ac:dyDescent="0.2">
      <c r="A17" s="58" t="s">
        <v>52</v>
      </c>
      <c r="B17" s="59"/>
      <c r="C17" s="59"/>
      <c r="D17" s="59"/>
      <c r="E17" s="59"/>
      <c r="F17" s="59"/>
      <c r="G17" s="59"/>
      <c r="H17" s="59"/>
      <c r="I17" s="54"/>
    </row>
    <row r="18" spans="1:11" ht="20.25" customHeight="1" x14ac:dyDescent="0.2">
      <c r="A18" s="3" t="s">
        <v>53</v>
      </c>
      <c r="B18" s="3" t="s">
        <v>54</v>
      </c>
      <c r="C18" s="64" t="s">
        <v>55</v>
      </c>
      <c r="D18" s="54"/>
      <c r="E18" s="64" t="s">
        <v>53</v>
      </c>
      <c r="F18" s="54"/>
      <c r="G18" s="4" t="s">
        <v>54</v>
      </c>
      <c r="H18" s="74" t="s">
        <v>55</v>
      </c>
      <c r="I18" s="54"/>
    </row>
    <row r="19" spans="1:11" ht="20.25" customHeight="1" x14ac:dyDescent="0.2">
      <c r="A19" s="17" t="s">
        <v>56</v>
      </c>
      <c r="B19" s="5">
        <v>100</v>
      </c>
      <c r="C19" s="55"/>
      <c r="D19" s="54"/>
      <c r="E19" s="53" t="s">
        <v>57</v>
      </c>
      <c r="F19" s="54"/>
      <c r="G19" s="2">
        <v>35</v>
      </c>
      <c r="H19" s="55">
        <v>11000</v>
      </c>
      <c r="I19" s="54"/>
    </row>
    <row r="20" spans="1:11" ht="20.25" customHeight="1" x14ac:dyDescent="0.2">
      <c r="A20" s="17" t="s">
        <v>58</v>
      </c>
      <c r="B20" s="5" t="s">
        <v>21</v>
      </c>
      <c r="C20" s="55"/>
      <c r="D20" s="54"/>
      <c r="E20" s="53" t="s">
        <v>59</v>
      </c>
      <c r="F20" s="54"/>
      <c r="G20" s="2" t="s">
        <v>21</v>
      </c>
      <c r="H20" s="55"/>
      <c r="I20" s="54"/>
    </row>
    <row r="21" spans="1:11" ht="20.25" customHeight="1" x14ac:dyDescent="0.2">
      <c r="A21" s="17" t="s">
        <v>60</v>
      </c>
      <c r="B21" s="5" t="s">
        <v>21</v>
      </c>
      <c r="C21" s="55"/>
      <c r="D21" s="54"/>
      <c r="E21" s="53" t="s">
        <v>61</v>
      </c>
      <c r="F21" s="54"/>
      <c r="G21" s="2" t="s">
        <v>21</v>
      </c>
      <c r="H21" s="55"/>
      <c r="I21" s="54"/>
    </row>
    <row r="22" spans="1:11" ht="20.25" customHeight="1" x14ac:dyDescent="0.2">
      <c r="A22" s="17" t="s">
        <v>62</v>
      </c>
      <c r="B22" s="5">
        <v>16</v>
      </c>
      <c r="C22" s="55">
        <v>7000</v>
      </c>
      <c r="D22" s="54"/>
      <c r="E22" s="56" t="s">
        <v>63</v>
      </c>
      <c r="F22" s="54"/>
      <c r="G22" s="2">
        <v>27</v>
      </c>
      <c r="H22" s="55" t="s">
        <v>64</v>
      </c>
      <c r="I22" s="54"/>
    </row>
    <row r="23" spans="1:11" ht="20.25" customHeight="1" x14ac:dyDescent="0.2">
      <c r="A23" s="17" t="s">
        <v>65</v>
      </c>
      <c r="B23" s="2" t="s">
        <v>21</v>
      </c>
      <c r="C23" s="55"/>
      <c r="D23" s="54"/>
      <c r="E23" s="56" t="s">
        <v>66</v>
      </c>
      <c r="F23" s="54"/>
      <c r="G23" s="2"/>
      <c r="H23" s="55">
        <v>3750</v>
      </c>
      <c r="I23" s="54"/>
    </row>
    <row r="24" spans="1:11" ht="20.25" customHeight="1" x14ac:dyDescent="0.2">
      <c r="A24" s="88" t="s">
        <v>67</v>
      </c>
      <c r="B24" s="59"/>
      <c r="C24" s="59"/>
      <c r="D24" s="59"/>
      <c r="E24" s="59"/>
      <c r="F24" s="59"/>
      <c r="G24" s="59"/>
      <c r="H24" s="59"/>
      <c r="I24" s="54"/>
    </row>
    <row r="25" spans="1:11" ht="20.25" customHeight="1" x14ac:dyDescent="0.2">
      <c r="A25" s="64" t="s">
        <v>68</v>
      </c>
      <c r="B25" s="59"/>
      <c r="C25" s="59"/>
      <c r="D25" s="54"/>
      <c r="E25" s="64" t="s">
        <v>69</v>
      </c>
      <c r="F25" s="59"/>
      <c r="G25" s="59"/>
      <c r="H25" s="59"/>
      <c r="I25" s="54"/>
    </row>
    <row r="26" spans="1:11" ht="20.25" customHeight="1" x14ac:dyDescent="0.2">
      <c r="A26" s="17" t="s">
        <v>70</v>
      </c>
      <c r="B26" s="2" t="s">
        <v>71</v>
      </c>
      <c r="C26" s="16" t="s">
        <v>72</v>
      </c>
      <c r="D26" s="2">
        <v>3</v>
      </c>
      <c r="E26" s="56" t="s">
        <v>73</v>
      </c>
      <c r="F26" s="59"/>
      <c r="G26" s="59"/>
      <c r="H26" s="54"/>
      <c r="I26" s="6" t="s">
        <v>26</v>
      </c>
    </row>
    <row r="27" spans="1:11" ht="20.25" customHeight="1" x14ac:dyDescent="0.2">
      <c r="A27" s="17" t="s">
        <v>74</v>
      </c>
      <c r="B27" s="2" t="s">
        <v>26</v>
      </c>
      <c r="C27" s="16" t="s">
        <v>75</v>
      </c>
      <c r="D27" s="2"/>
      <c r="E27" s="56" t="s">
        <v>76</v>
      </c>
      <c r="F27" s="59"/>
      <c r="G27" s="59"/>
      <c r="H27" s="54"/>
      <c r="I27" s="6" t="s">
        <v>26</v>
      </c>
    </row>
    <row r="28" spans="1:11" ht="20.25" customHeight="1" x14ac:dyDescent="0.2">
      <c r="A28" s="17" t="s">
        <v>77</v>
      </c>
      <c r="B28" s="2" t="s">
        <v>26</v>
      </c>
      <c r="C28" s="9" t="s">
        <v>78</v>
      </c>
      <c r="D28" s="2" t="s">
        <v>79</v>
      </c>
      <c r="E28" s="56" t="s">
        <v>80</v>
      </c>
      <c r="F28" s="59"/>
      <c r="G28" s="59"/>
      <c r="H28" s="54"/>
      <c r="I28" s="6" t="s">
        <v>26</v>
      </c>
    </row>
    <row r="29" spans="1:11" ht="20.25" customHeight="1" x14ac:dyDescent="0.2">
      <c r="A29" s="17" t="s">
        <v>81</v>
      </c>
      <c r="B29" s="2" t="s">
        <v>26</v>
      </c>
      <c r="C29" s="16" t="s">
        <v>82</v>
      </c>
      <c r="D29" s="2" t="s">
        <v>83</v>
      </c>
      <c r="E29" s="84" t="s">
        <v>84</v>
      </c>
      <c r="F29" s="85"/>
      <c r="G29" s="85"/>
      <c r="H29" s="86"/>
      <c r="I29" s="6" t="s">
        <v>26</v>
      </c>
    </row>
    <row r="30" spans="1:11" ht="20.25" customHeight="1" x14ac:dyDescent="0.2">
      <c r="A30" s="21" t="s">
        <v>85</v>
      </c>
      <c r="B30" s="22" t="s">
        <v>26</v>
      </c>
      <c r="C30" s="19" t="s">
        <v>86</v>
      </c>
      <c r="D30" s="22" t="s">
        <v>83</v>
      </c>
      <c r="E30" s="84" t="s">
        <v>87</v>
      </c>
      <c r="F30" s="85"/>
      <c r="G30" s="85"/>
      <c r="H30" s="86"/>
      <c r="I30" s="23" t="s">
        <v>83</v>
      </c>
    </row>
    <row r="31" spans="1:11" ht="20.25" customHeight="1" x14ac:dyDescent="0.2">
      <c r="A31" s="97" t="s">
        <v>88</v>
      </c>
      <c r="B31" s="66"/>
      <c r="C31" s="66"/>
      <c r="D31" s="66"/>
      <c r="E31" s="66"/>
      <c r="F31" s="66"/>
      <c r="G31" s="66"/>
      <c r="H31" s="66"/>
      <c r="I31" s="92"/>
    </row>
    <row r="32" spans="1:11" ht="20.25" customHeight="1" x14ac:dyDescent="0.2">
      <c r="A32" s="25" t="s">
        <v>89</v>
      </c>
      <c r="B32" s="65" t="s">
        <v>90</v>
      </c>
      <c r="C32" s="66"/>
      <c r="D32" s="49" t="s">
        <v>91</v>
      </c>
      <c r="E32" s="26" t="s">
        <v>92</v>
      </c>
      <c r="F32" s="91" t="s">
        <v>93</v>
      </c>
      <c r="G32" s="92"/>
      <c r="H32" s="55" t="s">
        <v>94</v>
      </c>
      <c r="I32" s="54"/>
      <c r="J32" s="95"/>
      <c r="K32" s="96"/>
    </row>
    <row r="33" spans="1:9" ht="20.25" customHeight="1" x14ac:dyDescent="0.2">
      <c r="A33" s="60" t="s">
        <v>95</v>
      </c>
      <c r="B33" s="61"/>
      <c r="C33" s="75" t="s">
        <v>96</v>
      </c>
      <c r="D33" s="76"/>
      <c r="E33" s="61"/>
      <c r="F33" s="71" t="s">
        <v>97</v>
      </c>
      <c r="G33" s="61"/>
      <c r="H33" s="98" t="s">
        <v>98</v>
      </c>
      <c r="I33" s="61"/>
    </row>
    <row r="34" spans="1:9" ht="20.25" customHeight="1" x14ac:dyDescent="0.2">
      <c r="A34" s="72" t="s">
        <v>99</v>
      </c>
      <c r="B34" s="59"/>
      <c r="C34" s="59"/>
      <c r="D34" s="59"/>
      <c r="E34" s="59"/>
      <c r="F34" s="59"/>
      <c r="G34" s="59"/>
      <c r="H34" s="59"/>
      <c r="I34" s="54"/>
    </row>
    <row r="35" spans="1:9" ht="20.25" customHeight="1" x14ac:dyDescent="0.2">
      <c r="A35" s="16" t="s">
        <v>100</v>
      </c>
      <c r="B35" s="70" t="s">
        <v>101</v>
      </c>
      <c r="C35" s="54"/>
      <c r="D35" s="16" t="s">
        <v>102</v>
      </c>
      <c r="E35" s="55" t="s">
        <v>103</v>
      </c>
      <c r="F35" s="59"/>
      <c r="G35" s="54"/>
      <c r="H35" s="16" t="s">
        <v>104</v>
      </c>
      <c r="I35" s="2" t="s">
        <v>105</v>
      </c>
    </row>
    <row r="36" spans="1:9" ht="20.25" customHeight="1" x14ac:dyDescent="0.2">
      <c r="A36" s="16" t="s">
        <v>106</v>
      </c>
      <c r="B36" s="55" t="s">
        <v>107</v>
      </c>
      <c r="C36" s="59"/>
      <c r="D36" s="54"/>
      <c r="E36" s="16" t="s">
        <v>108</v>
      </c>
      <c r="F36" s="89" t="s">
        <v>109</v>
      </c>
      <c r="G36" s="59"/>
      <c r="H36" s="59"/>
      <c r="I36" s="54"/>
    </row>
    <row r="37" spans="1:9" ht="20.25" customHeight="1" x14ac:dyDescent="0.2">
      <c r="A37" s="16" t="s">
        <v>110</v>
      </c>
      <c r="B37" s="2" t="s">
        <v>111</v>
      </c>
      <c r="C37" s="16" t="s">
        <v>112</v>
      </c>
      <c r="D37" s="55" t="s">
        <v>113</v>
      </c>
      <c r="E37" s="54"/>
      <c r="F37" s="16" t="s">
        <v>114</v>
      </c>
      <c r="G37" s="28" t="s">
        <v>115</v>
      </c>
      <c r="H37" s="29" t="s">
        <v>116</v>
      </c>
      <c r="I37" s="28" t="s">
        <v>103</v>
      </c>
    </row>
    <row r="38" spans="1:9" ht="20.25" customHeight="1" x14ac:dyDescent="0.2">
      <c r="A38" s="16" t="s">
        <v>117</v>
      </c>
      <c r="B38" s="2" t="s">
        <v>118</v>
      </c>
      <c r="C38" s="56" t="s">
        <v>119</v>
      </c>
      <c r="D38" s="54"/>
      <c r="E38" s="6"/>
      <c r="F38" s="56" t="s">
        <v>120</v>
      </c>
      <c r="G38" s="54"/>
      <c r="H38" s="81"/>
      <c r="I38" s="54"/>
    </row>
    <row r="39" spans="1:9" ht="20.25" customHeight="1" x14ac:dyDescent="0.2">
      <c r="A39" s="62" t="s">
        <v>121</v>
      </c>
      <c r="B39" s="59"/>
      <c r="C39" s="59"/>
      <c r="D39" s="59"/>
      <c r="E39" s="59"/>
      <c r="F39" s="59"/>
      <c r="G39" s="59"/>
      <c r="H39" s="59"/>
      <c r="I39" s="54"/>
    </row>
    <row r="40" spans="1:9" ht="20.25" customHeight="1" x14ac:dyDescent="0.2">
      <c r="A40" s="7" t="s">
        <v>122</v>
      </c>
      <c r="B40" s="7" t="s">
        <v>123</v>
      </c>
      <c r="C40" s="64" t="s">
        <v>124</v>
      </c>
      <c r="D40" s="54"/>
      <c r="E40" s="7" t="s">
        <v>123</v>
      </c>
      <c r="F40" s="64" t="s">
        <v>125</v>
      </c>
      <c r="G40" s="59"/>
      <c r="H40" s="54"/>
      <c r="I40" s="8" t="s">
        <v>126</v>
      </c>
    </row>
    <row r="41" spans="1:9" ht="20.25" customHeight="1" x14ac:dyDescent="0.2">
      <c r="A41" s="16" t="s">
        <v>127</v>
      </c>
      <c r="B41" s="52"/>
      <c r="C41" s="57" t="s">
        <v>128</v>
      </c>
      <c r="D41" s="54"/>
      <c r="E41" s="52"/>
      <c r="F41" s="56" t="s">
        <v>129</v>
      </c>
      <c r="G41" s="59"/>
      <c r="H41" s="54"/>
      <c r="I41" s="9"/>
    </row>
    <row r="42" spans="1:9" ht="20.25" customHeight="1" x14ac:dyDescent="0.2">
      <c r="A42" s="16" t="s">
        <v>130</v>
      </c>
      <c r="B42" s="52"/>
      <c r="C42" s="57" t="s">
        <v>131</v>
      </c>
      <c r="D42" s="54"/>
      <c r="E42" s="52"/>
      <c r="F42" s="56" t="s">
        <v>132</v>
      </c>
      <c r="G42" s="59"/>
      <c r="H42" s="54"/>
      <c r="I42" s="9"/>
    </row>
    <row r="43" spans="1:9" ht="20.25" customHeight="1" x14ac:dyDescent="0.2">
      <c r="A43" s="16" t="s">
        <v>133</v>
      </c>
      <c r="B43" s="52"/>
      <c r="C43" s="57" t="s">
        <v>134</v>
      </c>
      <c r="D43" s="54"/>
      <c r="E43" s="52"/>
      <c r="F43" s="56" t="s">
        <v>135</v>
      </c>
      <c r="G43" s="59"/>
      <c r="H43" s="54"/>
      <c r="I43" s="9"/>
    </row>
    <row r="44" spans="1:9" ht="36" customHeight="1" x14ac:dyDescent="0.2">
      <c r="A44" s="27" t="s">
        <v>136</v>
      </c>
      <c r="B44" s="52"/>
      <c r="C44" s="57" t="s">
        <v>137</v>
      </c>
      <c r="D44" s="54"/>
      <c r="E44" s="52"/>
      <c r="F44" s="87" t="s">
        <v>138</v>
      </c>
      <c r="G44" s="59"/>
      <c r="H44" s="54"/>
      <c r="I44" s="9"/>
    </row>
  </sheetData>
  <mergeCells count="94">
    <mergeCell ref="A2:B2"/>
    <mergeCell ref="F38:G38"/>
    <mergeCell ref="H32:I32"/>
    <mergeCell ref="J32:K32"/>
    <mergeCell ref="B10:C10"/>
    <mergeCell ref="A25:D25"/>
    <mergeCell ref="A31:I31"/>
    <mergeCell ref="E28:H28"/>
    <mergeCell ref="H18:I18"/>
    <mergeCell ref="H33:I33"/>
    <mergeCell ref="E30:H30"/>
    <mergeCell ref="A13:B13"/>
    <mergeCell ref="B4:I4"/>
    <mergeCell ref="E21:F21"/>
    <mergeCell ref="G7:I7"/>
    <mergeCell ref="F42:H42"/>
    <mergeCell ref="H20:I20"/>
    <mergeCell ref="C42:D42"/>
    <mergeCell ref="B3:I3"/>
    <mergeCell ref="F12:G12"/>
    <mergeCell ref="A16:B16"/>
    <mergeCell ref="H6:I6"/>
    <mergeCell ref="E10:F10"/>
    <mergeCell ref="E19:F19"/>
    <mergeCell ref="F32:G32"/>
    <mergeCell ref="E9:F9"/>
    <mergeCell ref="C44:D44"/>
    <mergeCell ref="B7:E7"/>
    <mergeCell ref="C22:D22"/>
    <mergeCell ref="A12:B12"/>
    <mergeCell ref="E6:F6"/>
    <mergeCell ref="C21:D21"/>
    <mergeCell ref="A14:B14"/>
    <mergeCell ref="E29:H29"/>
    <mergeCell ref="F44:H44"/>
    <mergeCell ref="H22:I22"/>
    <mergeCell ref="B9:C9"/>
    <mergeCell ref="C23:D23"/>
    <mergeCell ref="A24:I24"/>
    <mergeCell ref="F36:I36"/>
    <mergeCell ref="C14:E14"/>
    <mergeCell ref="C38:D38"/>
    <mergeCell ref="A9:A10"/>
    <mergeCell ref="A1:I1"/>
    <mergeCell ref="F40:H40"/>
    <mergeCell ref="H14:I14"/>
    <mergeCell ref="C18:D18"/>
    <mergeCell ref="E18:F18"/>
    <mergeCell ref="C16:E16"/>
    <mergeCell ref="E26:H26"/>
    <mergeCell ref="H38:I38"/>
    <mergeCell ref="G2:H2"/>
    <mergeCell ref="C20:D20"/>
    <mergeCell ref="E20:F20"/>
    <mergeCell ref="H21:I21"/>
    <mergeCell ref="H16:I16"/>
    <mergeCell ref="D5:E5"/>
    <mergeCell ref="F14:G14"/>
    <mergeCell ref="C2:F2"/>
    <mergeCell ref="E27:H27"/>
    <mergeCell ref="B35:C35"/>
    <mergeCell ref="F41:H41"/>
    <mergeCell ref="C12:E12"/>
    <mergeCell ref="F33:G33"/>
    <mergeCell ref="C40:D40"/>
    <mergeCell ref="B36:D36"/>
    <mergeCell ref="C13:E13"/>
    <mergeCell ref="D37:E37"/>
    <mergeCell ref="H19:I19"/>
    <mergeCell ref="A34:I34"/>
    <mergeCell ref="C15:E15"/>
    <mergeCell ref="B6:C6"/>
    <mergeCell ref="H12:I12"/>
    <mergeCell ref="C33:E33"/>
    <mergeCell ref="A11:I11"/>
    <mergeCell ref="H15:I15"/>
    <mergeCell ref="C19:D19"/>
    <mergeCell ref="E25:I25"/>
    <mergeCell ref="E35:G35"/>
    <mergeCell ref="B32:C32"/>
    <mergeCell ref="E22:F22"/>
    <mergeCell ref="H23:I23"/>
    <mergeCell ref="C43:D43"/>
    <mergeCell ref="A33:B33"/>
    <mergeCell ref="F13:G13"/>
    <mergeCell ref="A39:I39"/>
    <mergeCell ref="H13:I13"/>
    <mergeCell ref="F43:H43"/>
    <mergeCell ref="A15:B15"/>
    <mergeCell ref="F16:G16"/>
    <mergeCell ref="E23:F23"/>
    <mergeCell ref="F15:G15"/>
    <mergeCell ref="C41:D41"/>
    <mergeCell ref="A17:I17"/>
  </mergeCells>
  <dataValidations count="6">
    <dataValidation type="list" allowBlank="1" showInputMessage="1" showErrorMessage="1" sqref="C8 D9:D10 E8 G8:G10 I8:I10 I26 I30 I41:I44" xr:uid="{00000000-0002-0000-0000-000000000000}">
      <formula1>"Yes,No"</formula1>
    </dataValidation>
    <dataValidation type="list" allowBlank="1" showInputMessage="1" showErrorMessage="1" sqref="B26:B29 D28 D30" xr:uid="{00000000-0002-0000-0000-000001000000}">
      <formula1>"Yes, No, Outsourced"</formula1>
    </dataValidation>
    <dataValidation type="list" allowBlank="1" showInputMessage="1" showErrorMessage="1" sqref="B30 D26:D27 D29 I27:I29" xr:uid="{00000000-0002-0000-0000-000002000000}">
      <formula1>"Yes, No"</formula1>
    </dataValidation>
    <dataValidation type="list" allowBlank="1" showInputMessage="1" showErrorMessage="1" sqref="I5" xr:uid="{00000000-0002-0000-0000-000003000000}">
      <formula1>"Hospital SOC,SBIG Packages,GIPSA Packages"</formula1>
    </dataValidation>
    <dataValidation type="list" allowBlank="1" showInputMessage="1" showErrorMessage="1" sqref="I35" xr:uid="{00000000-0002-0000-0000-000004000000}">
      <formula1>"Saving,Current,Cash Credit,Over Draft,Escrew"</formula1>
    </dataValidation>
    <dataValidation type="list" allowBlank="1" showInputMessage="1" showErrorMessage="1" sqref="H32:I32" xr:uid="{00000000-0002-0000-0000-000005000000}">
      <formula1>"Entry Level,Progressive Level,Accredited"</formula1>
    </dataValidation>
  </dataValidations>
  <hyperlinks>
    <hyperlink ref="B7" r:id="rId1" display="care@pbhealth.com_x0009__x0009__x0009_" xr:uid="{D8CDAAF6-B3ED-5C4D-A856-4910AA7F1FD7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30"/>
  <sheetViews>
    <sheetView showGridLines="0" topLeftCell="BU1" workbookViewId="0">
      <selection activeCell="CC4" sqref="CC4"/>
    </sheetView>
  </sheetViews>
  <sheetFormatPr baseColWidth="10" defaultColWidth="9.1640625" defaultRowHeight="15" x14ac:dyDescent="0.2"/>
  <cols>
    <col min="1" max="1" width="5.6640625" style="10" bestFit="1" customWidth="1"/>
    <col min="2" max="2" width="12.83203125" style="10" customWidth="1"/>
    <col min="3" max="4" width="34" style="10" customWidth="1"/>
    <col min="5" max="5" width="41.83203125" style="10" customWidth="1"/>
    <col min="6" max="6" width="43" style="10" customWidth="1"/>
    <col min="7" max="7" width="5.5" style="10" bestFit="1" customWidth="1"/>
    <col min="8" max="8" width="12" style="10" bestFit="1" customWidth="1"/>
    <col min="9" max="9" width="9.5" style="10" bestFit="1" customWidth="1"/>
    <col min="10" max="10" width="9.83203125" style="10" bestFit="1" customWidth="1"/>
    <col min="11" max="11" width="9" style="10" bestFit="1" customWidth="1"/>
    <col min="12" max="12" width="4.5" style="10" bestFit="1" customWidth="1"/>
    <col min="13" max="13" width="24.6640625" style="10" bestFit="1" customWidth="1"/>
    <col min="14" max="14" width="10.83203125" style="10" bestFit="1" customWidth="1"/>
    <col min="15" max="16" width="10.83203125" style="10" customWidth="1"/>
    <col min="17" max="17" width="15.1640625" style="10" bestFit="1" customWidth="1"/>
    <col min="18" max="18" width="12.1640625" style="10" bestFit="1" customWidth="1"/>
    <col min="19" max="19" width="9.33203125" style="10" bestFit="1" customWidth="1"/>
    <col min="20" max="20" width="15.83203125" style="10" bestFit="1" customWidth="1"/>
    <col min="21" max="21" width="15.1640625" style="10" bestFit="1" customWidth="1"/>
    <col min="22" max="22" width="20.6640625" style="10" bestFit="1" customWidth="1"/>
    <col min="23" max="24" width="16.5" style="10" bestFit="1" customWidth="1"/>
    <col min="25" max="25" width="6.33203125" style="10" bestFit="1" customWidth="1"/>
    <col min="26" max="26" width="10" style="10" bestFit="1" customWidth="1"/>
    <col min="27" max="27" width="24.6640625" style="10" bestFit="1" customWidth="1"/>
    <col min="28" max="28" width="6.33203125" style="10" bestFit="1" customWidth="1"/>
    <col min="29" max="29" width="10" style="10" bestFit="1" customWidth="1"/>
    <col min="30" max="30" width="24.6640625" style="10" bestFit="1" customWidth="1"/>
    <col min="31" max="31" width="7.33203125" style="10" bestFit="1" customWidth="1"/>
    <col min="32" max="32" width="9.5" style="10" bestFit="1" customWidth="1"/>
    <col min="33" max="33" width="24.6640625" style="10" bestFit="1" customWidth="1"/>
    <col min="34" max="34" width="6.33203125" style="10" bestFit="1" customWidth="1"/>
    <col min="35" max="35" width="9" style="10" bestFit="1" customWidth="1"/>
    <col min="36" max="36" width="24.6640625" style="10" bestFit="1" customWidth="1"/>
    <col min="37" max="37" width="7.5" style="10" bestFit="1" customWidth="1"/>
    <col min="38" max="38" width="6.5" style="10" bestFit="1" customWidth="1"/>
    <col min="39" max="39" width="8.5" style="10" bestFit="1" customWidth="1"/>
    <col min="40" max="40" width="13.6640625" style="10" bestFit="1" customWidth="1"/>
    <col min="41" max="41" width="11.1640625" style="10" bestFit="1" customWidth="1"/>
    <col min="42" max="42" width="8.5" style="10" bestFit="1" customWidth="1"/>
    <col min="43" max="43" width="12.1640625" style="10" bestFit="1" customWidth="1"/>
    <col min="44" max="44" width="6.5" style="10" bestFit="1" customWidth="1"/>
    <col min="45" max="45" width="8.5" style="10" bestFit="1" customWidth="1"/>
    <col min="46" max="46" width="19.6640625" style="10" bestFit="1" customWidth="1"/>
    <col min="47" max="47" width="6.5" style="10" bestFit="1" customWidth="1"/>
    <col min="48" max="48" width="8.5" style="10" bestFit="1" customWidth="1"/>
    <col min="49" max="49" width="12" style="10" bestFit="1" customWidth="1"/>
    <col min="50" max="50" width="6.5" style="10" bestFit="1" customWidth="1"/>
    <col min="51" max="51" width="8.5" style="10" bestFit="1" customWidth="1"/>
    <col min="52" max="52" width="19.5" style="10" bestFit="1" customWidth="1"/>
    <col min="53" max="53" width="6.5" style="10" bestFit="1" customWidth="1"/>
    <col min="54" max="54" width="8.5" style="10" bestFit="1" customWidth="1"/>
    <col min="55" max="55" width="13.83203125" style="10" bestFit="1" customWidth="1"/>
    <col min="56" max="56" width="6.5" style="10" bestFit="1" customWidth="1"/>
    <col min="57" max="57" width="8.5" style="10" bestFit="1" customWidth="1"/>
    <col min="58" max="58" width="12.83203125" style="10" bestFit="1" customWidth="1"/>
    <col min="59" max="59" width="6.5" style="10" bestFit="1" customWidth="1"/>
    <col min="60" max="60" width="8.5" style="10" bestFit="1" customWidth="1"/>
    <col min="61" max="61" width="7.5" style="10" bestFit="1" customWidth="1"/>
    <col min="62" max="62" width="6.5" style="10" bestFit="1" customWidth="1"/>
    <col min="63" max="63" width="8.5" style="10" bestFit="1" customWidth="1"/>
    <col min="64" max="64" width="8.6640625" style="10" bestFit="1" customWidth="1"/>
    <col min="65" max="65" width="6.5" style="10" bestFit="1" customWidth="1"/>
    <col min="66" max="66" width="8.5" style="10" bestFit="1" customWidth="1"/>
    <col min="67" max="67" width="17.83203125" style="10" bestFit="1" customWidth="1"/>
    <col min="68" max="68" width="4.1640625" style="10" bestFit="1" customWidth="1"/>
    <col min="69" max="69" width="11.33203125" style="10" bestFit="1" customWidth="1"/>
    <col min="70" max="70" width="3.83203125" style="10" bestFit="1" customWidth="1"/>
    <col min="71" max="71" width="8.83203125" style="10" bestFit="1" customWidth="1"/>
    <col min="72" max="72" width="6.1640625" style="10" bestFit="1" customWidth="1"/>
    <col min="73" max="73" width="6.33203125" style="10" bestFit="1" customWidth="1"/>
    <col min="74" max="74" width="7.6640625" style="10" bestFit="1" customWidth="1"/>
    <col min="75" max="75" width="6" style="10" bestFit="1" customWidth="1"/>
    <col min="76" max="76" width="11.33203125" style="10" bestFit="1" customWidth="1"/>
    <col min="77" max="77" width="14.1640625" style="10" bestFit="1" customWidth="1"/>
    <col min="78" max="78" width="15.83203125" style="10" bestFit="1" customWidth="1"/>
    <col min="79" max="79" width="18.83203125" style="10" bestFit="1" customWidth="1"/>
    <col min="80" max="80" width="32" style="10" bestFit="1" customWidth="1"/>
    <col min="81" max="81" width="23.5" style="10" bestFit="1" customWidth="1"/>
    <col min="82" max="82" width="15.5" style="10" bestFit="1" customWidth="1"/>
    <col min="83" max="83" width="15.5" style="10" customWidth="1"/>
    <col min="84" max="84" width="15.1640625" style="10" bestFit="1" customWidth="1"/>
    <col min="85" max="85" width="17.83203125" style="10" bestFit="1" customWidth="1"/>
    <col min="86" max="86" width="11.6640625" style="10" bestFit="1" customWidth="1"/>
    <col min="87" max="87" width="10" style="10" bestFit="1" customWidth="1"/>
    <col min="88" max="88" width="10" style="10" customWidth="1"/>
    <col min="89" max="89" width="13.5" style="10" bestFit="1" customWidth="1"/>
    <col min="90" max="91" width="13.5" style="10" customWidth="1"/>
    <col min="92" max="92" width="12.6640625" style="10" bestFit="1" customWidth="1"/>
    <col min="93" max="93" width="11.83203125" style="10" bestFit="1" customWidth="1"/>
    <col min="94" max="95" width="11.83203125" style="10" customWidth="1"/>
    <col min="96" max="96" width="12.5" style="10" bestFit="1" customWidth="1"/>
    <col min="97" max="98" width="14.5" style="10" bestFit="1" customWidth="1"/>
    <col min="99" max="99" width="13.33203125" style="10" bestFit="1" customWidth="1"/>
    <col min="100" max="100" width="10.6640625" style="10" bestFit="1" customWidth="1"/>
    <col min="101" max="101" width="12.5" style="10" bestFit="1" customWidth="1"/>
    <col min="102" max="102" width="10.6640625" style="10" bestFit="1" customWidth="1"/>
    <col min="103" max="103" width="12.5" style="10" bestFit="1" customWidth="1"/>
    <col min="104" max="104" width="10.6640625" style="10" bestFit="1" customWidth="1"/>
    <col min="105" max="105" width="12.5" style="10" bestFit="1" customWidth="1"/>
    <col min="106" max="106" width="10.6640625" style="10" bestFit="1" customWidth="1"/>
    <col min="107" max="107" width="11.6640625" style="10" bestFit="1" customWidth="1"/>
    <col min="108" max="108" width="10.6640625" style="10" bestFit="1" customWidth="1"/>
    <col min="109" max="109" width="11.6640625" style="10" bestFit="1" customWidth="1"/>
    <col min="110" max="110" width="10.6640625" style="10" bestFit="1" customWidth="1"/>
    <col min="111" max="111" width="11.6640625" style="10" bestFit="1" customWidth="1"/>
    <col min="112" max="112" width="10.6640625" style="10" bestFit="1" customWidth="1"/>
    <col min="113" max="113" width="11.6640625" style="10" bestFit="1" customWidth="1"/>
    <col min="114" max="114" width="10.6640625" style="10" bestFit="1" customWidth="1"/>
    <col min="115" max="115" width="18" style="10" bestFit="1" customWidth="1"/>
    <col min="116" max="116" width="8.33203125" style="10" bestFit="1" customWidth="1"/>
    <col min="117" max="117" width="17.5" style="10" bestFit="1" customWidth="1"/>
    <col min="118" max="118" width="8.33203125" style="10" bestFit="1" customWidth="1"/>
    <col min="119" max="119" width="21.5" style="10" bestFit="1" customWidth="1"/>
    <col min="120" max="120" width="8.33203125" style="10" bestFit="1" customWidth="1"/>
    <col min="121" max="121" width="17.5" style="10" bestFit="1" customWidth="1"/>
    <col min="122" max="122" width="8.33203125" style="10" bestFit="1" customWidth="1"/>
    <col min="123" max="123" width="9.1640625" style="10" customWidth="1"/>
    <col min="124" max="16384" width="9.1640625" style="10"/>
  </cols>
  <sheetData>
    <row r="1" spans="1:122" ht="16.5" customHeight="1" x14ac:dyDescent="0.2">
      <c r="A1" s="117" t="s">
        <v>139</v>
      </c>
      <c r="B1" s="99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1"/>
      <c r="Y1" s="103" t="s">
        <v>37</v>
      </c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1"/>
      <c r="AK1" s="121" t="s">
        <v>52</v>
      </c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10"/>
      <c r="BO1" s="116" t="s">
        <v>67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1"/>
      <c r="CD1" s="120" t="s">
        <v>88</v>
      </c>
      <c r="CE1" s="109"/>
      <c r="CF1" s="109"/>
      <c r="CG1" s="109"/>
      <c r="CH1" s="110"/>
      <c r="CI1" s="108" t="s">
        <v>99</v>
      </c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10"/>
      <c r="CU1" s="119" t="s">
        <v>121</v>
      </c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10"/>
    </row>
    <row r="2" spans="1:122" ht="14.5" customHeight="1" x14ac:dyDescent="0.2">
      <c r="A2" s="118"/>
      <c r="B2" s="99" t="s">
        <v>1</v>
      </c>
      <c r="C2" s="99" t="s">
        <v>140</v>
      </c>
      <c r="D2" s="99" t="s">
        <v>141</v>
      </c>
      <c r="E2" s="99" t="s">
        <v>142</v>
      </c>
      <c r="F2" s="99" t="s">
        <v>143</v>
      </c>
      <c r="G2" s="99" t="s">
        <v>144</v>
      </c>
      <c r="H2" s="99" t="s">
        <v>145</v>
      </c>
      <c r="I2" s="99" t="s">
        <v>146</v>
      </c>
      <c r="J2" s="99" t="s">
        <v>147</v>
      </c>
      <c r="K2" s="99" t="s">
        <v>148</v>
      </c>
      <c r="L2" s="99" t="s">
        <v>149</v>
      </c>
      <c r="M2" s="99" t="s">
        <v>40</v>
      </c>
      <c r="N2" s="99" t="s">
        <v>23</v>
      </c>
      <c r="O2" s="99" t="s">
        <v>24</v>
      </c>
      <c r="P2" s="100"/>
      <c r="Q2" s="100"/>
      <c r="R2" s="101"/>
      <c r="S2" s="99" t="s">
        <v>150</v>
      </c>
      <c r="T2" s="100"/>
      <c r="U2" s="100"/>
      <c r="V2" s="100"/>
      <c r="W2" s="100"/>
      <c r="X2" s="101"/>
      <c r="Y2" s="103" t="s">
        <v>41</v>
      </c>
      <c r="Z2" s="100"/>
      <c r="AA2" s="101"/>
      <c r="AB2" s="114" t="s">
        <v>43</v>
      </c>
      <c r="AC2" s="100"/>
      <c r="AD2" s="100"/>
      <c r="AE2" s="103" t="s">
        <v>47</v>
      </c>
      <c r="AF2" s="100"/>
      <c r="AG2" s="101"/>
      <c r="AH2" s="103" t="s">
        <v>48</v>
      </c>
      <c r="AI2" s="100"/>
      <c r="AJ2" s="101"/>
      <c r="AK2" s="111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3"/>
      <c r="BO2" s="116" t="s">
        <v>68</v>
      </c>
      <c r="BP2" s="100"/>
      <c r="BQ2" s="100"/>
      <c r="BR2" s="100"/>
      <c r="BS2" s="100"/>
      <c r="BT2" s="100"/>
      <c r="BU2" s="100"/>
      <c r="BV2" s="100"/>
      <c r="BW2" s="100"/>
      <c r="BX2" s="101"/>
      <c r="BY2" s="116" t="s">
        <v>69</v>
      </c>
      <c r="BZ2" s="100"/>
      <c r="CA2" s="100"/>
      <c r="CB2" s="100"/>
      <c r="CC2" s="101"/>
      <c r="CD2" s="111"/>
      <c r="CE2" s="112"/>
      <c r="CF2" s="112"/>
      <c r="CG2" s="112"/>
      <c r="CH2" s="113"/>
      <c r="CI2" s="111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3"/>
      <c r="CU2" s="111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3"/>
    </row>
    <row r="3" spans="1:122" s="12" customFormat="1" ht="36" customHeight="1" x14ac:dyDescent="0.2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46" t="s">
        <v>151</v>
      </c>
      <c r="P3" s="46" t="s">
        <v>27</v>
      </c>
      <c r="Q3" s="46" t="s">
        <v>28</v>
      </c>
      <c r="R3" s="46" t="s">
        <v>29</v>
      </c>
      <c r="S3" s="46" t="s">
        <v>31</v>
      </c>
      <c r="T3" s="46" t="s">
        <v>32</v>
      </c>
      <c r="U3" s="46" t="s">
        <v>33</v>
      </c>
      <c r="V3" s="46" t="s">
        <v>34</v>
      </c>
      <c r="W3" s="46" t="s">
        <v>35</v>
      </c>
      <c r="X3" s="46" t="s">
        <v>36</v>
      </c>
      <c r="Y3" s="43" t="s">
        <v>39</v>
      </c>
      <c r="Z3" s="43" t="s">
        <v>23</v>
      </c>
      <c r="AA3" s="43" t="s">
        <v>40</v>
      </c>
      <c r="AB3" s="43" t="s">
        <v>39</v>
      </c>
      <c r="AC3" s="43" t="s">
        <v>23</v>
      </c>
      <c r="AD3" s="43" t="s">
        <v>40</v>
      </c>
      <c r="AE3" s="43" t="s">
        <v>39</v>
      </c>
      <c r="AF3" s="43" t="s">
        <v>23</v>
      </c>
      <c r="AG3" s="43" t="s">
        <v>40</v>
      </c>
      <c r="AH3" s="43" t="s">
        <v>39</v>
      </c>
      <c r="AI3" s="43" t="s">
        <v>23</v>
      </c>
      <c r="AJ3" s="43" t="s">
        <v>40</v>
      </c>
      <c r="AK3" s="44" t="s">
        <v>53</v>
      </c>
      <c r="AL3" s="44" t="s">
        <v>54</v>
      </c>
      <c r="AM3" s="44" t="s">
        <v>55</v>
      </c>
      <c r="AN3" s="44" t="s">
        <v>53</v>
      </c>
      <c r="AO3" s="44" t="s">
        <v>54</v>
      </c>
      <c r="AP3" s="44" t="s">
        <v>55</v>
      </c>
      <c r="AQ3" s="44" t="s">
        <v>53</v>
      </c>
      <c r="AR3" s="44" t="s">
        <v>54</v>
      </c>
      <c r="AS3" s="44" t="s">
        <v>55</v>
      </c>
      <c r="AT3" s="44" t="s">
        <v>53</v>
      </c>
      <c r="AU3" s="44" t="s">
        <v>54</v>
      </c>
      <c r="AV3" s="44" t="s">
        <v>55</v>
      </c>
      <c r="AW3" s="44" t="s">
        <v>53</v>
      </c>
      <c r="AX3" s="44" t="s">
        <v>54</v>
      </c>
      <c r="AY3" s="44" t="s">
        <v>55</v>
      </c>
      <c r="AZ3" s="44" t="s">
        <v>53</v>
      </c>
      <c r="BA3" s="44" t="s">
        <v>54</v>
      </c>
      <c r="BB3" s="44" t="s">
        <v>55</v>
      </c>
      <c r="BC3" s="44" t="s">
        <v>53</v>
      </c>
      <c r="BD3" s="44" t="s">
        <v>54</v>
      </c>
      <c r="BE3" s="44" t="s">
        <v>55</v>
      </c>
      <c r="BF3" s="44" t="s">
        <v>53</v>
      </c>
      <c r="BG3" s="44" t="s">
        <v>54</v>
      </c>
      <c r="BH3" s="44" t="s">
        <v>55</v>
      </c>
      <c r="BI3" s="44" t="s">
        <v>53</v>
      </c>
      <c r="BJ3" s="44" t="s">
        <v>54</v>
      </c>
      <c r="BK3" s="44" t="s">
        <v>55</v>
      </c>
      <c r="BL3" s="44" t="s">
        <v>53</v>
      </c>
      <c r="BM3" s="44" t="s">
        <v>54</v>
      </c>
      <c r="BN3" s="44" t="s">
        <v>55</v>
      </c>
      <c r="BO3" s="42" t="s">
        <v>70</v>
      </c>
      <c r="BP3" s="42" t="s">
        <v>74</v>
      </c>
      <c r="BQ3" s="42" t="s">
        <v>77</v>
      </c>
      <c r="BR3" s="42" t="s">
        <v>81</v>
      </c>
      <c r="BS3" s="42" t="s">
        <v>85</v>
      </c>
      <c r="BT3" s="42" t="s">
        <v>72</v>
      </c>
      <c r="BU3" s="42" t="s">
        <v>75</v>
      </c>
      <c r="BV3" s="42" t="s">
        <v>78</v>
      </c>
      <c r="BW3" s="42" t="s">
        <v>82</v>
      </c>
      <c r="BX3" s="42" t="s">
        <v>86</v>
      </c>
      <c r="BY3" s="42" t="s">
        <v>152</v>
      </c>
      <c r="BZ3" s="42" t="s">
        <v>153</v>
      </c>
      <c r="CA3" s="42" t="s">
        <v>154</v>
      </c>
      <c r="CB3" s="42" t="s">
        <v>155</v>
      </c>
      <c r="CC3" s="42" t="s">
        <v>156</v>
      </c>
      <c r="CD3" s="45" t="s">
        <v>89</v>
      </c>
      <c r="CE3" s="45" t="s">
        <v>91</v>
      </c>
      <c r="CF3" s="45" t="s">
        <v>95</v>
      </c>
      <c r="CG3" s="45" t="s">
        <v>93</v>
      </c>
      <c r="CH3" s="45" t="s">
        <v>97</v>
      </c>
      <c r="CI3" s="47" t="s">
        <v>100</v>
      </c>
      <c r="CJ3" s="47" t="s">
        <v>102</v>
      </c>
      <c r="CK3" s="47" t="s">
        <v>106</v>
      </c>
      <c r="CL3" s="47" t="s">
        <v>157</v>
      </c>
      <c r="CM3" s="47" t="s">
        <v>104</v>
      </c>
      <c r="CN3" s="47" t="s">
        <v>110</v>
      </c>
      <c r="CO3" s="47" t="s">
        <v>114</v>
      </c>
      <c r="CP3" s="47" t="s">
        <v>116</v>
      </c>
      <c r="CQ3" s="47" t="s">
        <v>112</v>
      </c>
      <c r="CR3" s="47" t="s">
        <v>117</v>
      </c>
      <c r="CS3" s="47" t="s">
        <v>119</v>
      </c>
      <c r="CT3" s="47" t="s">
        <v>120</v>
      </c>
      <c r="CU3" s="41" t="s">
        <v>122</v>
      </c>
      <c r="CV3" s="41" t="s">
        <v>123</v>
      </c>
      <c r="CW3" s="41" t="s">
        <v>122</v>
      </c>
      <c r="CX3" s="41" t="s">
        <v>123</v>
      </c>
      <c r="CY3" s="41" t="s">
        <v>122</v>
      </c>
      <c r="CZ3" s="41" t="s">
        <v>123</v>
      </c>
      <c r="DA3" s="41" t="s">
        <v>122</v>
      </c>
      <c r="DB3" s="41" t="s">
        <v>123</v>
      </c>
      <c r="DC3" s="41" t="s">
        <v>124</v>
      </c>
      <c r="DD3" s="41" t="s">
        <v>123</v>
      </c>
      <c r="DE3" s="41" t="s">
        <v>124</v>
      </c>
      <c r="DF3" s="41" t="s">
        <v>123</v>
      </c>
      <c r="DG3" s="41" t="s">
        <v>124</v>
      </c>
      <c r="DH3" s="41" t="s">
        <v>123</v>
      </c>
      <c r="DI3" s="41" t="s">
        <v>124</v>
      </c>
      <c r="DJ3" s="41" t="s">
        <v>123</v>
      </c>
      <c r="DK3" s="41" t="s">
        <v>125</v>
      </c>
      <c r="DL3" s="41" t="s">
        <v>126</v>
      </c>
      <c r="DM3" s="41" t="s">
        <v>125</v>
      </c>
      <c r="DN3" s="41" t="s">
        <v>126</v>
      </c>
      <c r="DO3" s="41" t="s">
        <v>125</v>
      </c>
      <c r="DP3" s="41" t="s">
        <v>126</v>
      </c>
      <c r="DQ3" s="41" t="s">
        <v>125</v>
      </c>
      <c r="DR3" s="41" t="s">
        <v>126</v>
      </c>
    </row>
    <row r="4" spans="1:122" s="11" customFormat="1" ht="30" customHeight="1" x14ac:dyDescent="0.2">
      <c r="A4" s="38">
        <v>1</v>
      </c>
      <c r="B4" s="15" t="str">
        <f>HIS!C2</f>
        <v>8900080770423</v>
      </c>
      <c r="C4" s="24" t="str">
        <f>HIS!I2</f>
        <v>17-Aug-2027</v>
      </c>
      <c r="D4" s="38">
        <f>HIS!I5</f>
        <v>0</v>
      </c>
      <c r="E4" s="13" t="str">
        <f>HIS!B3</f>
        <v>PB Health Hospital, MG Road (Medom Healthtech Private Limited)</v>
      </c>
      <c r="F4" s="13" t="str">
        <f>HIS!B4</f>
        <v>L-22, DLF Phase 2, Mehrauli-Gurgaon Road, Sector 25, Near American Public School</v>
      </c>
      <c r="G4" s="13" t="str">
        <f>HIS!B5</f>
        <v>Gurugram</v>
      </c>
      <c r="H4" s="13" t="str">
        <f>HIS!D5</f>
        <v>Haryana</v>
      </c>
      <c r="I4" s="13" t="str">
        <f>HIS!F5</f>
        <v>Pincode:</v>
      </c>
      <c r="J4" s="13" t="str">
        <f>HIS!B6</f>
        <v>0124</v>
      </c>
      <c r="K4" s="13" t="str">
        <f>HIS!E6</f>
        <v>4374109</v>
      </c>
      <c r="L4" s="13" t="str">
        <f>HIS!H6</f>
        <v>Nil</v>
      </c>
      <c r="M4" s="13" t="str">
        <f>HIS!B7</f>
        <v>insurance.mgroad@pbhealth.com</v>
      </c>
      <c r="N4" s="13">
        <f>HIS!G7</f>
        <v>7428280579</v>
      </c>
      <c r="O4" s="13" t="str">
        <f>HIS!C8</f>
        <v>Yes</v>
      </c>
      <c r="P4" s="13">
        <f>HIS!E8</f>
        <v>0</v>
      </c>
      <c r="Q4" s="13">
        <f>HIS!G8</f>
        <v>0</v>
      </c>
      <c r="R4" s="13">
        <f>HIS!I8</f>
        <v>0</v>
      </c>
      <c r="S4" s="13" t="str">
        <f>HIS!D9</f>
        <v>Yes</v>
      </c>
      <c r="T4" s="13">
        <f>HIS!G9</f>
        <v>0</v>
      </c>
      <c r="U4" s="13">
        <f>HIS!I9</f>
        <v>0</v>
      </c>
      <c r="V4" s="13">
        <f>HIS!D10</f>
        <v>0</v>
      </c>
      <c r="W4" s="13">
        <f>HIS!G10</f>
        <v>0</v>
      </c>
      <c r="X4" s="13">
        <f>HIS!I10</f>
        <v>0</v>
      </c>
      <c r="Y4" s="13" t="str">
        <f>HIS!C13</f>
        <v>Alok Man Singh, Hospital Director</v>
      </c>
      <c r="Z4" s="13">
        <f>HIS!F13</f>
        <v>0</v>
      </c>
      <c r="AA4" s="13">
        <f>HIS!H13</f>
        <v>0</v>
      </c>
      <c r="AB4" s="13" t="str">
        <f>HIS!C14</f>
        <v>Manoj Sharma, Director / Rajeev Bhandari, Director</v>
      </c>
      <c r="AC4" s="13" t="str">
        <f>HIS!F14</f>
        <v>9810302530 / 9873079038</v>
      </c>
      <c r="AD4" s="13" t="str">
        <f>HIS!H14</f>
        <v>rajeev.bhandari@pbhealth.com</v>
      </c>
      <c r="AE4" s="13" t="str">
        <f>HIS!C15</f>
        <v>-</v>
      </c>
      <c r="AF4" s="13">
        <f>HIS!F15</f>
        <v>0</v>
      </c>
      <c r="AG4" s="13">
        <f>HIS!H15</f>
        <v>0</v>
      </c>
      <c r="AH4" s="13" t="str">
        <f>HIS!C16</f>
        <v>Deepak Kumar (Senior Executive - TPA, Billing)</v>
      </c>
      <c r="AI4" s="13" t="str">
        <f>HIS!F16</f>
        <v>8700319474 / 7428280579</v>
      </c>
      <c r="AJ4" s="13" t="str">
        <f>HIS!H16</f>
        <v>insurance.mgroad@pbhealth.com</v>
      </c>
      <c r="AK4" s="13" t="s">
        <v>56</v>
      </c>
      <c r="AL4" s="13">
        <f>HIS!B19</f>
        <v>100</v>
      </c>
      <c r="AM4" s="13">
        <f>HIS!C19</f>
        <v>0</v>
      </c>
      <c r="AN4" s="13" t="s">
        <v>58</v>
      </c>
      <c r="AO4" s="13" t="str">
        <f>HIS!B20</f>
        <v>Nil</v>
      </c>
      <c r="AP4" s="13">
        <f>HIS!C20</f>
        <v>0</v>
      </c>
      <c r="AQ4" s="13" t="s">
        <v>60</v>
      </c>
      <c r="AR4" s="13" t="str">
        <f>HIS!B21</f>
        <v>Nil</v>
      </c>
      <c r="AS4" s="13">
        <f>HIS!C21</f>
        <v>0</v>
      </c>
      <c r="AT4" s="13" t="s">
        <v>62</v>
      </c>
      <c r="AU4" s="13">
        <f>HIS!B22</f>
        <v>16</v>
      </c>
      <c r="AV4" s="13">
        <f>HIS!C22</f>
        <v>7000</v>
      </c>
      <c r="AW4" s="13" t="s">
        <v>65</v>
      </c>
      <c r="AX4" s="13" t="str">
        <f>HIS!B23</f>
        <v>Nil</v>
      </c>
      <c r="AY4" s="13">
        <f>HIS!C23</f>
        <v>0</v>
      </c>
      <c r="AZ4" s="13" t="s">
        <v>57</v>
      </c>
      <c r="BA4" s="13">
        <f>HIS!G19</f>
        <v>35</v>
      </c>
      <c r="BB4" s="13">
        <f>HIS!H19</f>
        <v>11000</v>
      </c>
      <c r="BC4" s="14" t="s">
        <v>59</v>
      </c>
      <c r="BD4" s="13" t="str">
        <f>HIS!G20</f>
        <v>Nil</v>
      </c>
      <c r="BE4" s="13">
        <f>HIS!H20</f>
        <v>0</v>
      </c>
      <c r="BF4" s="14" t="s">
        <v>61</v>
      </c>
      <c r="BG4" s="13" t="str">
        <f>HIS!G21</f>
        <v>Nil</v>
      </c>
      <c r="BH4" s="13">
        <f>HIS!H21</f>
        <v>0</v>
      </c>
      <c r="BI4" s="14" t="s">
        <v>63</v>
      </c>
      <c r="BJ4" s="13">
        <f>HIS!G22</f>
        <v>27</v>
      </c>
      <c r="BK4" s="13" t="str">
        <f>HIS!H22</f>
        <v>12,000 (PICU 8,000)</v>
      </c>
      <c r="BL4" s="14" t="s">
        <v>66</v>
      </c>
      <c r="BM4" s="13">
        <f>HIS!G23</f>
        <v>0</v>
      </c>
      <c r="BN4" s="13">
        <f>HIS!H23</f>
        <v>3750</v>
      </c>
      <c r="BO4" s="13" t="str">
        <f>HIS!B26</f>
        <v>Outsourced (Pathkind)</v>
      </c>
      <c r="BP4" s="13" t="str">
        <f>HIS!B27</f>
        <v>Yes</v>
      </c>
      <c r="BQ4" s="13" t="str">
        <f>HIS!B28</f>
        <v>Yes</v>
      </c>
      <c r="BR4" s="13" t="str">
        <f>HIS!B29</f>
        <v>Yes</v>
      </c>
      <c r="BS4" s="13" t="str">
        <f>HIS!B30</f>
        <v>Yes</v>
      </c>
      <c r="BT4" s="13">
        <f>HIS!D26</f>
        <v>3</v>
      </c>
      <c r="BU4" s="13">
        <f>HIS!D27</f>
        <v>0</v>
      </c>
      <c r="BV4" s="13" t="str">
        <f>HIS!D28</f>
        <v>Yes (IP)</v>
      </c>
      <c r="BW4" s="13" t="str">
        <f>HIS!D29</f>
        <v>No</v>
      </c>
      <c r="BX4" s="13" t="str">
        <f>HIS!D30</f>
        <v>No</v>
      </c>
      <c r="BY4" s="13" t="str">
        <f>HIS!I26</f>
        <v>Yes</v>
      </c>
      <c r="BZ4" s="13" t="str">
        <f>HIS!I27</f>
        <v>Yes</v>
      </c>
      <c r="CA4" s="13" t="str">
        <f>HIS!I28</f>
        <v>Yes</v>
      </c>
      <c r="CB4" s="13" t="str">
        <f>HIS!I29</f>
        <v>Yes</v>
      </c>
      <c r="CC4" s="13" t="str">
        <f>HIS!I30</f>
        <v>No</v>
      </c>
      <c r="CD4" s="13">
        <f>HIS!C32</f>
        <v>0</v>
      </c>
      <c r="CE4" s="24" t="str">
        <f>HIS!E32</f>
        <v>17-Dec-26</v>
      </c>
      <c r="CF4" s="13" t="str">
        <f>HIS!C33</f>
        <v>District Registering Authority, Gurgaon (Clinical Establishments Act, 2010)</v>
      </c>
      <c r="CG4" s="13" t="str">
        <f>HIS!H32</f>
        <v>Not accredited</v>
      </c>
      <c r="CH4" s="13" t="str">
        <f>HIS!H33</f>
        <v>None</v>
      </c>
      <c r="CI4" s="48" t="str">
        <f>HIS!B35</f>
        <v>50200119112042</v>
      </c>
      <c r="CJ4" s="13" t="str">
        <f>HIS!E35</f>
        <v>Medom Healthtech Private Limited</v>
      </c>
      <c r="CK4" s="13" t="str">
        <f>HIS!B36</f>
        <v>HDFC Bank</v>
      </c>
      <c r="CL4" s="13" t="str">
        <f>HIS!F36</f>
        <v>First India Place, Mehrauli Gurgaon Road, Gurugram - 122002</v>
      </c>
      <c r="CM4" s="13" t="str">
        <f>HIS!I35</f>
        <v>Current</v>
      </c>
      <c r="CN4" s="13" t="str">
        <f>HIS!B37</f>
        <v>HDFC0000280</v>
      </c>
      <c r="CO4" s="13" t="str">
        <f>HIS!G37</f>
        <v>AATCM6271B</v>
      </c>
      <c r="CP4" s="13" t="str">
        <f>HIS!I37</f>
        <v>Medom Healthtech Private Limited</v>
      </c>
      <c r="CQ4" s="13" t="str">
        <f>HIS!D37</f>
        <v>06AATCM6271B1ZC</v>
      </c>
      <c r="CR4" s="13" t="str">
        <f>HIS!B38</f>
        <v>Not applicable</v>
      </c>
      <c r="CS4" s="39">
        <f>HIS!E38</f>
        <v>0</v>
      </c>
      <c r="CT4" s="39">
        <f>HIS!H38</f>
        <v>0</v>
      </c>
      <c r="CU4" s="40" t="s">
        <v>127</v>
      </c>
      <c r="CV4" s="40">
        <f>HIS!B41</f>
        <v>0</v>
      </c>
      <c r="CW4" s="40" t="s">
        <v>130</v>
      </c>
      <c r="CX4" s="40">
        <f>HIS!B42</f>
        <v>0</v>
      </c>
      <c r="CY4" s="40" t="s">
        <v>133</v>
      </c>
      <c r="CZ4" s="40">
        <f>HIS!B43</f>
        <v>0</v>
      </c>
      <c r="DA4" s="40" t="s">
        <v>158</v>
      </c>
      <c r="DB4" s="40">
        <f>HIS!B44</f>
        <v>0</v>
      </c>
      <c r="DC4" s="40" t="s">
        <v>128</v>
      </c>
      <c r="DD4" s="40">
        <f>HIS!E41</f>
        <v>0</v>
      </c>
      <c r="DE4" s="40" t="s">
        <v>131</v>
      </c>
      <c r="DF4" s="40">
        <f>HIS!E42</f>
        <v>0</v>
      </c>
      <c r="DG4" s="40" t="s">
        <v>134</v>
      </c>
      <c r="DH4" s="40">
        <f>HIS!E43</f>
        <v>0</v>
      </c>
      <c r="DI4" s="40" t="s">
        <v>137</v>
      </c>
      <c r="DJ4" s="40">
        <f>HIS!E44</f>
        <v>0</v>
      </c>
      <c r="DK4" s="40" t="s">
        <v>129</v>
      </c>
      <c r="DL4" s="40">
        <f>HIS!I41</f>
        <v>0</v>
      </c>
      <c r="DM4" s="40" t="s">
        <v>132</v>
      </c>
      <c r="DN4" s="40">
        <f>HIS!I42</f>
        <v>0</v>
      </c>
      <c r="DO4" s="40" t="s">
        <v>135</v>
      </c>
      <c r="DP4" s="40">
        <f>HIS!I43</f>
        <v>0</v>
      </c>
      <c r="DQ4" s="40" t="s">
        <v>138</v>
      </c>
      <c r="DR4" s="40">
        <f>HIS!I44</f>
        <v>0</v>
      </c>
    </row>
    <row r="7" spans="1:122" ht="15" customHeight="1" x14ac:dyDescent="0.2">
      <c r="B7" s="102" t="s">
        <v>159</v>
      </c>
      <c r="C7" s="59"/>
      <c r="D7" s="59"/>
      <c r="E7" s="59"/>
      <c r="F7" s="54"/>
    </row>
    <row r="8" spans="1:122" ht="16" x14ac:dyDescent="0.2">
      <c r="B8" s="30" t="s">
        <v>160</v>
      </c>
      <c r="C8" s="30" t="s">
        <v>161</v>
      </c>
      <c r="D8" s="30"/>
      <c r="E8" s="102" t="s">
        <v>162</v>
      </c>
      <c r="F8" s="54"/>
    </row>
    <row r="9" spans="1:122" ht="16" x14ac:dyDescent="0.2">
      <c r="B9" s="31" t="s">
        <v>163</v>
      </c>
      <c r="C9" s="31" t="s">
        <v>164</v>
      </c>
      <c r="D9" s="31"/>
      <c r="E9" s="115" t="s">
        <v>165</v>
      </c>
      <c r="F9" s="54"/>
    </row>
    <row r="10" spans="1:122" ht="16" x14ac:dyDescent="0.2">
      <c r="B10" s="31" t="s">
        <v>166</v>
      </c>
      <c r="C10" s="31" t="s">
        <v>167</v>
      </c>
      <c r="D10" s="31"/>
      <c r="E10" s="115" t="s">
        <v>168</v>
      </c>
      <c r="F10" s="54"/>
    </row>
    <row r="11" spans="1:122" ht="16" x14ac:dyDescent="0.2">
      <c r="B11" s="104" t="s">
        <v>169</v>
      </c>
      <c r="C11" s="104" t="s">
        <v>170</v>
      </c>
      <c r="D11" s="31"/>
      <c r="E11" s="32" t="s">
        <v>171</v>
      </c>
      <c r="F11" s="36" t="str">
        <f>HIS!B3</f>
        <v>PB Health Hospital, MG Road (Medom Healthtech Private Limited)</v>
      </c>
    </row>
    <row r="12" spans="1:122" ht="16" x14ac:dyDescent="0.2">
      <c r="B12" s="105"/>
      <c r="C12" s="105"/>
      <c r="D12" s="31"/>
      <c r="E12" s="32" t="s">
        <v>172</v>
      </c>
      <c r="F12" s="36" t="str">
        <f>HIS!B4</f>
        <v>L-22, DLF Phase 2, Mehrauli-Gurgaon Road, Sector 25, Near American Public School</v>
      </c>
    </row>
    <row r="13" spans="1:122" ht="16" x14ac:dyDescent="0.2">
      <c r="B13" s="105"/>
      <c r="C13" s="105"/>
      <c r="D13" s="31"/>
      <c r="E13" s="32" t="s">
        <v>173</v>
      </c>
      <c r="F13" s="36" t="str">
        <f>HIS!B6&amp;"-"&amp;HIS!E6&amp;"/"&amp;HIS!G7</f>
        <v>0124-4374109/7428280579</v>
      </c>
    </row>
    <row r="14" spans="1:122" ht="16" x14ac:dyDescent="0.2">
      <c r="B14" s="105"/>
      <c r="C14" s="105"/>
      <c r="D14" s="31"/>
      <c r="E14" s="32" t="s">
        <v>174</v>
      </c>
      <c r="F14" s="36" t="str">
        <f>HIS!H6</f>
        <v>Nil</v>
      </c>
    </row>
    <row r="15" spans="1:122" ht="16" x14ac:dyDescent="0.2">
      <c r="B15" s="77"/>
      <c r="C15" s="77"/>
      <c r="D15" s="31"/>
      <c r="E15" s="32" t="s">
        <v>175</v>
      </c>
      <c r="F15" s="36" t="str">
        <f>HIS!B7</f>
        <v>insurance.mgroad@pbhealth.com</v>
      </c>
    </row>
    <row r="16" spans="1:122" ht="16" x14ac:dyDescent="0.2">
      <c r="B16" s="104"/>
      <c r="C16" s="104" t="s">
        <v>176</v>
      </c>
      <c r="D16" s="31"/>
      <c r="E16" s="32" t="s">
        <v>177</v>
      </c>
      <c r="F16" s="36" t="str">
        <f>HIS!C13</f>
        <v>Alok Man Singh, Hospital Director</v>
      </c>
    </row>
    <row r="17" spans="2:6" ht="16" x14ac:dyDescent="0.2">
      <c r="B17" s="77"/>
      <c r="C17" s="77"/>
      <c r="D17" s="31"/>
      <c r="E17" s="32" t="s">
        <v>178</v>
      </c>
      <c r="F17" s="36" t="s">
        <v>41</v>
      </c>
    </row>
    <row r="18" spans="2:6" ht="29" customHeight="1" x14ac:dyDescent="0.2">
      <c r="B18" s="31" t="s">
        <v>179</v>
      </c>
      <c r="C18" s="31" t="s">
        <v>180</v>
      </c>
      <c r="D18" s="31"/>
      <c r="E18" s="33" t="s">
        <v>181</v>
      </c>
      <c r="F18" s="33" t="s">
        <v>181</v>
      </c>
    </row>
    <row r="19" spans="2:6" ht="16" x14ac:dyDescent="0.2">
      <c r="B19" s="31" t="s">
        <v>182</v>
      </c>
      <c r="C19" s="31" t="s">
        <v>183</v>
      </c>
      <c r="D19" s="31"/>
      <c r="E19" s="33" t="s">
        <v>184</v>
      </c>
      <c r="F19" s="37" t="str">
        <f>HIS!E44 &amp;"% discount on total hospital bill"</f>
        <v>% discount on total hospital bill</v>
      </c>
    </row>
    <row r="20" spans="2:6" ht="29" customHeight="1" x14ac:dyDescent="0.2">
      <c r="B20" s="31"/>
      <c r="C20" s="31" t="s">
        <v>185</v>
      </c>
      <c r="D20" s="31"/>
      <c r="E20" s="34">
        <v>0.1</v>
      </c>
      <c r="F20" s="37"/>
    </row>
    <row r="21" spans="2:6" ht="29" customHeight="1" x14ac:dyDescent="0.2">
      <c r="B21" s="31"/>
      <c r="C21" s="31" t="s">
        <v>186</v>
      </c>
      <c r="D21" s="31"/>
      <c r="E21" s="32" t="s">
        <v>187</v>
      </c>
      <c r="F21" s="34"/>
    </row>
    <row r="22" spans="2:6" ht="29" customHeight="1" x14ac:dyDescent="0.2">
      <c r="B22" s="31"/>
      <c r="C22" s="31" t="s">
        <v>188</v>
      </c>
      <c r="D22" s="31"/>
      <c r="E22" s="32" t="s">
        <v>187</v>
      </c>
      <c r="F22" s="36"/>
    </row>
    <row r="23" spans="2:6" ht="16" x14ac:dyDescent="0.2">
      <c r="B23" s="31"/>
      <c r="C23" s="31" t="s">
        <v>189</v>
      </c>
      <c r="D23" s="31"/>
      <c r="E23" s="32" t="s">
        <v>190</v>
      </c>
      <c r="F23" s="36"/>
    </row>
    <row r="24" spans="2:6" ht="16" x14ac:dyDescent="0.2">
      <c r="B24" s="31" t="s">
        <v>191</v>
      </c>
      <c r="C24" s="31" t="s">
        <v>192</v>
      </c>
      <c r="D24" s="31"/>
      <c r="E24" s="32"/>
      <c r="F24" s="32" t="s">
        <v>193</v>
      </c>
    </row>
    <row r="25" spans="2:6" ht="29" customHeight="1" x14ac:dyDescent="0.2">
      <c r="B25" s="31"/>
      <c r="C25" s="31"/>
      <c r="D25" s="31"/>
      <c r="E25" s="32" t="s">
        <v>194</v>
      </c>
      <c r="F25" s="35" t="s">
        <v>26</v>
      </c>
    </row>
    <row r="26" spans="2:6" ht="29" customHeight="1" x14ac:dyDescent="0.2">
      <c r="B26" s="31"/>
      <c r="C26" s="31"/>
      <c r="D26" s="31"/>
      <c r="E26" s="32" t="s">
        <v>195</v>
      </c>
      <c r="F26" s="35" t="s">
        <v>26</v>
      </c>
    </row>
    <row r="27" spans="2:6" ht="16" x14ac:dyDescent="0.2">
      <c r="B27" s="107" t="s">
        <v>196</v>
      </c>
      <c r="C27" s="31"/>
      <c r="D27" s="31"/>
      <c r="E27" s="32" t="s">
        <v>129</v>
      </c>
      <c r="F27" s="35">
        <f>HIS!I41</f>
        <v>0</v>
      </c>
    </row>
    <row r="28" spans="2:6" ht="16" x14ac:dyDescent="0.2">
      <c r="B28" s="105"/>
      <c r="C28" s="31"/>
      <c r="D28" s="31"/>
      <c r="E28" s="32" t="s">
        <v>132</v>
      </c>
      <c r="F28" s="35">
        <f>HIS!I42</f>
        <v>0</v>
      </c>
    </row>
    <row r="29" spans="2:6" ht="16" x14ac:dyDescent="0.2">
      <c r="B29" s="105"/>
      <c r="C29" s="31"/>
      <c r="D29" s="31"/>
      <c r="E29" s="32" t="s">
        <v>135</v>
      </c>
      <c r="F29" s="35">
        <f>HIS!I43</f>
        <v>0</v>
      </c>
    </row>
    <row r="30" spans="2:6" ht="16" x14ac:dyDescent="0.2">
      <c r="B30" s="77"/>
      <c r="C30" s="31"/>
      <c r="D30" s="31"/>
      <c r="E30" s="32" t="s">
        <v>138</v>
      </c>
      <c r="F30" s="35">
        <f>HIS!I44</f>
        <v>0</v>
      </c>
    </row>
  </sheetData>
  <mergeCells count="38">
    <mergeCell ref="A1:A3"/>
    <mergeCell ref="CU1:DR2"/>
    <mergeCell ref="B1:X1"/>
    <mergeCell ref="BO1:CC1"/>
    <mergeCell ref="BO2:BX2"/>
    <mergeCell ref="J2:J3"/>
    <mergeCell ref="L2:L3"/>
    <mergeCell ref="CD1:CH2"/>
    <mergeCell ref="AK1:BN2"/>
    <mergeCell ref="G2:G3"/>
    <mergeCell ref="I2:I3"/>
    <mergeCell ref="CI1:CT2"/>
    <mergeCell ref="AB2:AD2"/>
    <mergeCell ref="E10:F10"/>
    <mergeCell ref="BY2:CC2"/>
    <mergeCell ref="C2:C3"/>
    <mergeCell ref="E9:F9"/>
    <mergeCell ref="E2:E3"/>
    <mergeCell ref="K2:K3"/>
    <mergeCell ref="AH2:AJ2"/>
    <mergeCell ref="C16:C17"/>
    <mergeCell ref="D2:D3"/>
    <mergeCell ref="B27:B30"/>
    <mergeCell ref="F2:F3"/>
    <mergeCell ref="E8:F8"/>
    <mergeCell ref="B11:B15"/>
    <mergeCell ref="B16:B17"/>
    <mergeCell ref="Y1:AJ1"/>
    <mergeCell ref="O2:R2"/>
    <mergeCell ref="B2:B3"/>
    <mergeCell ref="M2:M3"/>
    <mergeCell ref="N2:N3"/>
    <mergeCell ref="H2:H3"/>
    <mergeCell ref="S2:X2"/>
    <mergeCell ref="B7:F7"/>
    <mergeCell ref="Y2:AA2"/>
    <mergeCell ref="AE2:AG2"/>
    <mergeCell ref="C11:C15"/>
  </mergeCells>
  <dataValidations count="1">
    <dataValidation type="list" allowBlank="1" showInputMessage="1" showErrorMessage="1" sqref="F25:F26" xr:uid="{00000000-0002-0000-0100-000000000000}">
      <formula1>"Yes,No"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Bishwajit Nayak</dc:creator>
  <cp:lastModifiedBy>Radiology Team</cp:lastModifiedBy>
  <dcterms:created xsi:type="dcterms:W3CDTF">2021-11-15T15:03:40Z</dcterms:created>
  <dcterms:modified xsi:type="dcterms:W3CDTF">2026-09-25T06:26:23Z</dcterms:modified>
</cp:coreProperties>
</file>